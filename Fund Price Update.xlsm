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urti4407\Downloads\"/>
    </mc:Choice>
  </mc:AlternateContent>
  <xr:revisionPtr revIDLastSave="0" documentId="13_ncr:1_{7B2A5EDB-1446-48F3-B1D3-36F35E02F56C}" xr6:coauthVersionLast="47" xr6:coauthVersionMax="47" xr10:uidLastSave="{00000000-0000-0000-0000-000000000000}"/>
  <bookViews>
    <workbookView xWindow="-110" yWindow="-110" windowWidth="19420" windowHeight="10420" tabRatio="847" xr2:uid="{00000000-000D-0000-FFFF-FFFF00000000}"/>
  </bookViews>
  <sheets>
    <sheet name="Fund price update" sheetId="3" r:id="rId1"/>
  </sheets>
  <definedNames>
    <definedName name="AccountDetail_INSERTED_ROWS">5</definedName>
    <definedName name="Directive_Range">#REF!</definedName>
    <definedName name="HTML1_1" hidden="1">"'[NEW.XLS]IntraNet(2)'!$A$5:$K$70"</definedName>
    <definedName name="HTML1_10" hidden="1">""</definedName>
    <definedName name="HTML1_11" hidden="1">1</definedName>
    <definedName name="HTML1_12" hidden="1">"C:\VISTA\WINFAX\price1.htm"</definedName>
    <definedName name="HTML1_2" hidden="1">1</definedName>
    <definedName name="HTML1_3" hidden="1">""</definedName>
    <definedName name="HTML1_4" hidden="1">""</definedName>
    <definedName name="HTML1_5" hidden="1">""</definedName>
    <definedName name="HTML1_6" hidden="1">-4146</definedName>
    <definedName name="HTML1_7" hidden="1">-4146</definedName>
    <definedName name="HTML1_8" hidden="1">"16/01/98"</definedName>
    <definedName name="HTML1_9" hidden="1">""</definedName>
    <definedName name="HTML2_1" hidden="1">"'[NEW.XLS]IntraNet(2)'!$M$5:$O$16"</definedName>
    <definedName name="HTML2_10" hidden="1">""</definedName>
    <definedName name="HTML2_11" hidden="1">1</definedName>
    <definedName name="HTML2_12" hidden="1">"C:\VISTA\WINFAX\price2.htm"</definedName>
    <definedName name="HTML2_2" hidden="1">1</definedName>
    <definedName name="HTML2_3" hidden="1">""</definedName>
    <definedName name="HTML2_4" hidden="1">""</definedName>
    <definedName name="HTML2_5" hidden="1">""</definedName>
    <definedName name="HTML2_6" hidden="1">-4146</definedName>
    <definedName name="HTML2_7" hidden="1">-4146</definedName>
    <definedName name="HTML2_8" hidden="1">"16/01/98"</definedName>
    <definedName name="HTML2_9" hidden="1">""</definedName>
    <definedName name="HTML3_1" hidden="1">"'[NEW.XLS]IntraNet (2)'!$A$5:$K$72"</definedName>
    <definedName name="HTML3_10" hidden="1">""</definedName>
    <definedName name="HTML3_11" hidden="1">1</definedName>
    <definedName name="HTML3_12" hidden="1">"C:\VISTA\internet\price1.htm"</definedName>
    <definedName name="HTML3_2" hidden="1">1</definedName>
    <definedName name="HTML3_3" hidden="1">""</definedName>
    <definedName name="HTML3_4" hidden="1">""</definedName>
    <definedName name="HTML3_5" hidden="1">""</definedName>
    <definedName name="HTML3_6" hidden="1">-4146</definedName>
    <definedName name="HTML3_7" hidden="1">-4146</definedName>
    <definedName name="HTML3_8" hidden="1">"21/01/98"</definedName>
    <definedName name="HTML3_9" hidden="1">""</definedName>
    <definedName name="HTML4_1" hidden="1">"'[NEW.XLS]IntraNet (2)'!$A$5:$J$72"</definedName>
    <definedName name="HTML4_10" hidden="1">""</definedName>
    <definedName name="HTML4_11" hidden="1">1</definedName>
    <definedName name="HTML4_12" hidden="1">"C:\VISTA\INternet\price1.htm"</definedName>
    <definedName name="HTML4_2" hidden="1">1</definedName>
    <definedName name="HTML4_3" hidden="1">""</definedName>
    <definedName name="HTML4_4" hidden="1">""</definedName>
    <definedName name="HTML4_5" hidden="1">""</definedName>
    <definedName name="HTML4_6" hidden="1">-4146</definedName>
    <definedName name="HTML4_7" hidden="1">-4146</definedName>
    <definedName name="HTML4_8" hidden="1">"21/01/98"</definedName>
    <definedName name="HTML4_9" hidden="1">""</definedName>
    <definedName name="HTML5_1" hidden="1">"'[NEW.XLS]IntraNet (2)'!$B$1:$J$66"</definedName>
    <definedName name="HTML5_10" hidden="1">""</definedName>
    <definedName name="HTML5_11" hidden="1">1</definedName>
    <definedName name="HTML5_12" hidden="1">"c:\vista\internet\price1.htm"</definedName>
    <definedName name="HTML5_2" hidden="1">1</definedName>
    <definedName name="HTML5_3" hidden="1">""</definedName>
    <definedName name="HTML5_4" hidden="1">""</definedName>
    <definedName name="HTML5_5" hidden="1">""</definedName>
    <definedName name="HTML5_6" hidden="1">-4146</definedName>
    <definedName name="HTML5_7" hidden="1">-4146</definedName>
    <definedName name="HTML5_8" hidden="1">"23/01/98"</definedName>
    <definedName name="HTML5_9" hidden="1">""</definedName>
    <definedName name="HTML6_1" hidden="1">"'[NEW.XLS]IntraNet (2)'!$L$1:$N$12"</definedName>
    <definedName name="HTML6_10" hidden="1">""</definedName>
    <definedName name="HTML6_11" hidden="1">1</definedName>
    <definedName name="HTML6_12" hidden="1">"C:\VISTA\internet\price2.htm"</definedName>
    <definedName name="HTML6_2" hidden="1">1</definedName>
    <definedName name="HTML6_3" hidden="1">""</definedName>
    <definedName name="HTML6_4" hidden="1">""</definedName>
    <definedName name="HTML6_5" hidden="1">""</definedName>
    <definedName name="HTML6_6" hidden="1">-4146</definedName>
    <definedName name="HTML6_7" hidden="1">-4146</definedName>
    <definedName name="HTML6_8" hidden="1">"23/01/98"</definedName>
    <definedName name="HTML6_9" hidden="1">""</definedName>
    <definedName name="HTMLCount" hidden="1">6</definedName>
    <definedName name="PARM_accountID">" "</definedName>
    <definedName name="PARM_Accounts_or_Groups">10062</definedName>
    <definedName name="PARM_accountType">" "</definedName>
    <definedName name="PARM_AcctNum">"null"</definedName>
    <definedName name="PARM_AdHocUserid">"dfahey"</definedName>
    <definedName name="PARM_As_of_date">"16-Mar-2023"</definedName>
    <definedName name="PARM_AUTH_USER">"dfahey"</definedName>
    <definedName name="PARM_BinderAccount">" "</definedName>
    <definedName name="PARM_CUSTOMER_SID">16</definedName>
    <definedName name="PARM_CustomerFtpDir">"/em1prent/appsdata/Operational/las-invone/file"</definedName>
    <definedName name="PARM_CustomerHomeDir">"/em1prent/appsdata/Operational/las-invone"</definedName>
    <definedName name="PARM_CustomerInternalName">"las-invone"</definedName>
    <definedName name="PARM_Debug">"false"</definedName>
    <definedName name="PARM_docFormName">"reportRequestPageForm"</definedName>
    <definedName name="PARM_ent_customerRoleSID">1002701</definedName>
    <definedName name="PARM_ent_customerSID">16</definedName>
    <definedName name="PARM_ent_custRegionSID">1255</definedName>
    <definedName name="PARM_ent_operatorSID">16186</definedName>
    <definedName name="PARM_ent_userbankSID">2283</definedName>
    <definedName name="PARM_ent_userLoginName">"yguo"</definedName>
    <definedName name="PARM_ent_userSID">25012292</definedName>
    <definedName name="PARM_ENV_AccountZeroShadow">99999999999999</definedName>
    <definedName name="PARM_ENV_Acct">10062</definedName>
    <definedName name="PARM_ENV_AcctDesc">"ARDEVORA GLOBAL LONG EQTY"</definedName>
    <definedName name="PARM_ENV_ApolloRptLogging">"FALSE"</definedName>
    <definedName name="PARM_ENV_AuditedData">" "</definedName>
    <definedName name="PARM_ENV_AUTHUSER">" "</definedName>
    <definedName name="PARM_ENV_ContainerName">"Standard Report"</definedName>
    <definedName name="PARM_ENV_customerInternalName">"las-invone"</definedName>
    <definedName name="PARM_ENV_ENGAUDITTRAILJCL">"ENGRPTAZ"</definedName>
    <definedName name="PARM_ENV_ENGAUDITTRAILOPENS">"RPOPENS"</definedName>
    <definedName name="PARM_ENV_ENGBATCHRPTBULKJCL">"ENGRPTB"</definedName>
    <definedName name="PARM_ENV_ENGBATCHRPTJCL">"prod_capita.jcl"</definedName>
    <definedName name="PARM_ENV_ENGBATCHRPTOPENS">"RPOPENS"</definedName>
    <definedName name="PARM_ENV_ENGSUBMITJCL">"ENGJCL_RELEASE.jcl"</definedName>
    <definedName name="PARM_ENV_ENGSUBMITJOB">"KAPOLLOS"</definedName>
    <definedName name="PARM_ENV_EuroDate">"Y"</definedName>
    <definedName name="PARM_ENV_HOSTIP">"em1-ioeng.fisglobal.com"</definedName>
    <definedName name="PARM_ENV_HOSTUSERBANK">"CP"</definedName>
    <definedName name="PARM_ENV_HTTPHOST">"vor1rbscentap24"</definedName>
    <definedName name="PARM_ENV_IO_ENGHYBRIDREPTJCL">"ENGRPTDB"</definedName>
    <definedName name="PARM_ENV_LOCALADDR">"vor1rbscentap24"</definedName>
    <definedName name="PARM_ENV_MAINFRAMEPASSWORD">"APOLLOS"</definedName>
    <definedName name="PARM_ENV_MAINFRAMEUSERID">"ENTLAS00"</definedName>
    <definedName name="PARM_ENV_NoPDF">"N"</definedName>
    <definedName name="PARM_ENV_OPERATOR">"KCP01397"</definedName>
    <definedName name="PARM_ENV_PDF">"N"</definedName>
    <definedName name="PARM_ENV_PDFAccessibility">"B"</definedName>
    <definedName name="PARM_ENV_PDFReportType">" "</definedName>
    <definedName name="PARM_ENV_PersistExcelReports">"N"</definedName>
    <definedName name="PARM_ENV_PORT">5000</definedName>
    <definedName name="PARM_ENV_ProcessID">10899414</definedName>
    <definedName name="PARM_ENV_ProcessName">"NAV Price Distribution Report"</definedName>
    <definedName name="PARM_ENV_ProcessUserID">"yguo"</definedName>
    <definedName name="PARM_ENV_Report_Retain">5</definedName>
    <definedName name="PARM_ENV_REPORTFORMAT">" "</definedName>
    <definedName name="PARM_ENV_REPORTPAPERSIZE">" "</definedName>
    <definedName name="PARM_ENV_REPORTSERVER">" "</definedName>
    <definedName name="PARM_ENV_REPORTSERVERPATH">" "</definedName>
    <definedName name="PARM_ENV_REPORTSERVERTYPE">" "</definedName>
    <definedName name="PARM_ENV_ROOTDIR">" "</definedName>
    <definedName name="PARM_ENV_RptDate">"16-Mar-2023"</definedName>
    <definedName name="PARM_ENV_RptFactoryPassword">"sungard"</definedName>
    <definedName name="PARM_ENV_RptFactoryServer">"IORptFactoryServer"</definedName>
    <definedName name="PARM_ENV_RptFactoryUser">"c16_yguo"</definedName>
    <definedName name="PARM_ENV_Server">"vor1rbscentap23"</definedName>
    <definedName name="PARM_ENV_SERVERPORT">0</definedName>
    <definedName name="PARM_ENV_TaskID">50278</definedName>
    <definedName name="PARM_ENV_TaskName">"Nav Price Distribution Report"</definedName>
    <definedName name="PARM_ENV_TaskSeq">0</definedName>
    <definedName name="PARM_ENV_USERBANKSID">2283</definedName>
    <definedName name="PARM_ENV_USERID">"yguo"</definedName>
    <definedName name="PARM_ENV_VIRTUALDIR">" "</definedName>
    <definedName name="PARM_ENV_Xamin_Only">"N"</definedName>
    <definedName name="PARM_fasid">1005335</definedName>
    <definedName name="PARM_GENERATE_MULTIPLE_FORMATS_FROM_XLS">"true"</definedName>
    <definedName name="PARM_global_account">"N"</definedName>
    <definedName name="PARM_HldDt">"null"</definedName>
    <definedName name="PARM_HOST_USER_BANK">"CP"</definedName>
    <definedName name="PARM_HostIP">"em1-ioeng.fisglobal.com"</definedName>
    <definedName name="PARM_isAdhocReportExecution">"FALSE"</definedName>
    <definedName name="PARM_openNewTab">"false"</definedName>
    <definedName name="PARM_OperatorID">"KCP01386"</definedName>
    <definedName name="PARM_PathType">"Operational"</definedName>
    <definedName name="PARM_perfAccount">" "</definedName>
    <definedName name="PARM_perfCategory">" "</definedName>
    <definedName name="PARM_Port">5000</definedName>
    <definedName name="PARM_PROCESS_ID">15541295</definedName>
    <definedName name="PARM_processSharing">" "</definedName>
    <definedName name="PARM_PROXY_LOGIN_TRACKER">"ffa06355ac1100025037ef9a9944ad2b"</definedName>
    <definedName name="PARM_REGION_NAME">"PRD_EM1_LINK_ASSET"</definedName>
    <definedName name="PARM_REPORT_EXPORT_FORMATS">"XLS"</definedName>
    <definedName name="PARM_reportFormat">"XLS"</definedName>
    <definedName name="PARM_reportId">"NavPriceDistributionReport_1005692"</definedName>
    <definedName name="PARM_reportName">"Nav Price Distribution Report"</definedName>
    <definedName name="PARM_reportOutputType">"EXCEL"</definedName>
    <definedName name="PARM_Retain">5</definedName>
    <definedName name="PARM_RptDist_ProfileID">3502</definedName>
    <definedName name="PARM_RptID">5851473</definedName>
    <definedName name="PARM_runAsCustomerId">16</definedName>
    <definedName name="PARM_runAsCustomerRoleSid">1002701</definedName>
    <definedName name="PARM_runAsOperatorSid">16186</definedName>
    <definedName name="PARM_runAsUser">"yguo"</definedName>
    <definedName name="PARM_runAsUserSid">25012292</definedName>
    <definedName name="PARM_serviceId">"RunAsExecuteReportService"</definedName>
    <definedName name="PARM_submitBtn">"Submit"</definedName>
    <definedName name="PARM_TEMP_TEMPLATE_PATH">"resources/fisglobal/report/NavPriceDistributionReport_1005692.xls"</definedName>
    <definedName name="PARM_UPDATE_REPORT_TEMPLATE_SHOW_FLAG">"false"</definedName>
    <definedName name="PARM_userpasskey">"ei81MDJ1R3BCZkU9:WlFpQ0VFdDlPWlU9:WlFpQ0VFdDlPWlU9"</definedName>
    <definedName name="PARM_ValDtCur">"null"</definedName>
    <definedName name="PARM_View">"FA"</definedName>
    <definedName name="PARM_WN">"win0child03"</definedName>
    <definedName name="PARM_Xamin_Only">"N"</definedName>
    <definedName name="rNoData">#REF!</definedName>
    <definedName name="SecurityLookup_INSERTED_ROWS">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9" i="3" l="1"/>
  <c r="A11" i="3" l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F4" i="3"/>
  <c r="F5" i="3"/>
  <c r="F6" i="3"/>
  <c r="F3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</calcChain>
</file>

<file path=xl/sharedStrings.xml><?xml version="1.0" encoding="utf-8"?>
<sst xmlns="http://schemas.openxmlformats.org/spreadsheetml/2006/main" count="156" uniqueCount="91">
  <si>
    <t>EUR</t>
  </si>
  <si>
    <t>HKD</t>
  </si>
  <si>
    <t>JPY</t>
  </si>
  <si>
    <t>USD</t>
  </si>
  <si>
    <t>Ardevora</t>
  </si>
  <si>
    <t>N/A</t>
  </si>
  <si>
    <t>Fidelity</t>
  </si>
  <si>
    <t>JPMorgan</t>
  </si>
  <si>
    <t>Vanguard</t>
  </si>
  <si>
    <t>BlackRock</t>
  </si>
  <si>
    <t>PIMCO</t>
  </si>
  <si>
    <t>Principal</t>
  </si>
  <si>
    <t>Northern Trust</t>
  </si>
  <si>
    <t>Robeco</t>
  </si>
  <si>
    <t>Schroders</t>
  </si>
  <si>
    <t>Fund</t>
  </si>
  <si>
    <t>Description</t>
  </si>
  <si>
    <t>Bloomberg tickers</t>
  </si>
  <si>
    <t>UNIT PRICE</t>
  </si>
  <si>
    <t>Date</t>
  </si>
  <si>
    <t>Compare last week</t>
  </si>
  <si>
    <t>Last Week</t>
  </si>
  <si>
    <t>FX rate</t>
  </si>
  <si>
    <t>ISIN / refer from Fund Manager</t>
  </si>
  <si>
    <t>this week</t>
  </si>
  <si>
    <t>Fund Managers</t>
  </si>
  <si>
    <t>Fund names used by investment manager</t>
  </si>
  <si>
    <t>ARDEVORA GLOBAL LONG-ONLY EQUITY FUND CLASS C CAD</t>
  </si>
  <si>
    <t>IE00BYWNV231</t>
  </si>
  <si>
    <t>Fidelity FAP - Invesco Asian Equity Fund</t>
  </si>
  <si>
    <t>Fidelity RMB Bond Fund</t>
  </si>
  <si>
    <t>Fidelity FAP - World Equity Index Fund</t>
  </si>
  <si>
    <t>Fidelity FAP - World Government Bond Index Fund</t>
  </si>
  <si>
    <t>JPMorgan Asian Smaller Companies (acc) - USD</t>
  </si>
  <si>
    <t>FIAO</t>
  </si>
  <si>
    <t>FARO</t>
  </si>
  <si>
    <t>FWEO</t>
  </si>
  <si>
    <t>FWGO</t>
  </si>
  <si>
    <t>JFESCT</t>
  </si>
  <si>
    <t>JPM SAR Japan Fund - Class B</t>
  </si>
  <si>
    <t>SARJPB</t>
  </si>
  <si>
    <t>Vanguard ESG Developed World All Cap Equity Index Fund GBP Acc</t>
  </si>
  <si>
    <t>IE00B76VTN11</t>
  </si>
  <si>
    <t>Vanguard Global Bond Index Fund Investor EUR Hedged Shares</t>
  </si>
  <si>
    <t>IE00BGCZ0933</t>
  </si>
  <si>
    <t>Vanguard Global Small-Cap Index Fund EUR Dist</t>
  </si>
  <si>
    <t>IE00BDCXSH02</t>
  </si>
  <si>
    <t>Vanguard SRI European Stock Fund USD Acc</t>
  </si>
  <si>
    <t>IE00B4Z8LP80</t>
  </si>
  <si>
    <t>Schroders BIC (Brazil, India, China) A1</t>
  </si>
  <si>
    <t>Schroders Global Target Return A - AUD Hedged</t>
  </si>
  <si>
    <t>Schroders QEP Global Active Value A</t>
  </si>
  <si>
    <t>Schroders Taiwanese Equity A1</t>
  </si>
  <si>
    <t>Schroders Hong Kong Money Market Fund</t>
  </si>
  <si>
    <t>Schroders U.S. Dollar Money Fund</t>
  </si>
  <si>
    <t>Schroders Asian Opportunities C</t>
  </si>
  <si>
    <t>Schroders Hong Kong Equity Fund</t>
  </si>
  <si>
    <t>Northern Trust NT EM MK CUS EUR D</t>
  </si>
  <si>
    <t>BJ0X829</t>
  </si>
  <si>
    <t>Principal PGIF Global Property Securities Fund USD N Class Inc</t>
  </si>
  <si>
    <t>IE00BD0G6226</t>
  </si>
  <si>
    <t>PIMCO Euro Credit Fund – Inst</t>
  </si>
  <si>
    <t>IE00BJXS6Q14</t>
  </si>
  <si>
    <t>BlackRock Premier China US Dollar Bond Fund - Class A6 Hedged</t>
  </si>
  <si>
    <t>HK0000786027</t>
  </si>
  <si>
    <t>Robeco Chinese A-share Equities I USD</t>
  </si>
  <si>
    <t>LU1529950328</t>
  </si>
  <si>
    <t>Fund1</t>
  </si>
  <si>
    <t>Fund2</t>
  </si>
  <si>
    <t>Fund3</t>
  </si>
  <si>
    <t>Fund4</t>
  </si>
  <si>
    <t>Fund5</t>
  </si>
  <si>
    <t>Fund6</t>
  </si>
  <si>
    <t>Fund7</t>
  </si>
  <si>
    <t>Fund8</t>
  </si>
  <si>
    <t>Fund9</t>
  </si>
  <si>
    <t>Fund10</t>
  </si>
  <si>
    <t>Fund11</t>
  </si>
  <si>
    <t>Fund12</t>
  </si>
  <si>
    <t>Fund13</t>
  </si>
  <si>
    <t>Fund14</t>
  </si>
  <si>
    <t>Fund15</t>
  </si>
  <si>
    <t>Fund16</t>
  </si>
  <si>
    <t>Fund17</t>
  </si>
  <si>
    <t>Fund18</t>
  </si>
  <si>
    <t>Fund19</t>
  </si>
  <si>
    <t>Fund20</t>
  </si>
  <si>
    <t>Fund21</t>
  </si>
  <si>
    <t>Fund22</t>
  </si>
  <si>
    <t>Fund23</t>
  </si>
  <si>
    <t>Fund24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</si>
</sst>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1" formatCode="_-* #,##0_-;\-* #,##0_-;_-* &quot;-&quot;_-;_-@_-"/>
    <numFmt numFmtId="43" formatCode="_-* #,##0.00_-;\-* #,##0.00_-;_-* &quot;-&quot;??_-;_-@_-"/>
    <numFmt numFmtId="164" formatCode="_(* #,##0_);_(* \(#,##0\);_(* &quot;-&quot;_);_(@_)"/>
    <numFmt numFmtId="165" formatCode="_(&quot;$&quot;* #,##0.00_);_(&quot;$&quot;* \(#,##0.00\);_(&quot;$&quot;* &quot;-&quot;??_);_(@_)"/>
    <numFmt numFmtId="166" formatCode="_-* #,##0.000000_-;\-* #,##0.000000_-;_-* &quot;-&quot;??_-;_-@_-"/>
    <numFmt numFmtId="167" formatCode="0.0000"/>
    <numFmt numFmtId="168" formatCode="_-* #,##0.0000_-;\-* #,##0.0000_-;_-* &quot;-&quot;??_-;_-@_-"/>
    <numFmt numFmtId="169" formatCode="dd/mm/yy;@"/>
    <numFmt numFmtId="170" formatCode="#,##0.000000_ ;\-#,##0.000000\ "/>
    <numFmt numFmtId="171" formatCode="_-* #,##0.0000_-;\-* #,##0.0000_-;_-* &quot;-&quot;????_-;_-@_-"/>
  </numFmts>
  <fonts count="49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57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0"/>
      <color indexed="64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name val="Times New Roman"/>
      <family val="1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6"/>
      <color theme="1"/>
      <name val="Arial"/>
      <family val="2"/>
    </font>
    <font>
      <sz val="10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11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0" applyNumberFormat="0" applyBorder="0" applyAlignment="0" applyProtection="0"/>
    <xf numFmtId="0" fontId="10" fillId="6" borderId="4" applyNumberFormat="0" applyAlignment="0" applyProtection="0"/>
    <xf numFmtId="0" fontId="11" fillId="7" borderId="5" applyNumberFormat="0" applyAlignment="0" applyProtection="0"/>
    <xf numFmtId="0" fontId="12" fillId="7" borderId="4" applyNumberFormat="0" applyAlignment="0" applyProtection="0"/>
    <xf numFmtId="0" fontId="13" fillId="0" borderId="6" applyNumberFormat="0" applyFill="0" applyAlignment="0" applyProtection="0"/>
    <xf numFmtId="0" fontId="14" fillId="8" borderId="7" applyNumberFormat="0" applyAlignment="0" applyProtection="0"/>
    <xf numFmtId="0" fontId="15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8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8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8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8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8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19" fillId="0" borderId="0"/>
    <xf numFmtId="0" fontId="20" fillId="0" borderId="0"/>
    <xf numFmtId="0" fontId="20" fillId="0" borderId="0"/>
    <xf numFmtId="0" fontId="20" fillId="0" borderId="0"/>
    <xf numFmtId="0" fontId="21" fillId="0" borderId="0"/>
    <xf numFmtId="0" fontId="22" fillId="0" borderId="0"/>
    <xf numFmtId="0" fontId="24" fillId="0" borderId="2" applyNumberFormat="0" applyFill="0" applyAlignment="0" applyProtection="0"/>
    <xf numFmtId="0" fontId="23" fillId="0" borderId="1" applyNumberFormat="0" applyFill="0" applyAlignment="0" applyProtection="0"/>
    <xf numFmtId="0" fontId="38" fillId="0" borderId="0"/>
    <xf numFmtId="0" fontId="25" fillId="0" borderId="3" applyNumberFormat="0" applyFill="0" applyAlignment="0" applyProtection="0"/>
    <xf numFmtId="0" fontId="25" fillId="0" borderId="0" applyNumberFormat="0" applyFill="0" applyBorder="0" applyAlignment="0" applyProtection="0"/>
    <xf numFmtId="0" fontId="26" fillId="3" borderId="0" applyNumberFormat="0" applyBorder="0" applyAlignment="0" applyProtection="0"/>
    <xf numFmtId="0" fontId="27" fillId="4" borderId="0" applyNumberFormat="0" applyBorder="0" applyAlignment="0" applyProtection="0"/>
    <xf numFmtId="0" fontId="28" fillId="5" borderId="0" applyNumberFormat="0" applyBorder="0" applyAlignment="0" applyProtection="0"/>
    <xf numFmtId="0" fontId="29" fillId="6" borderId="4" applyNumberFormat="0" applyAlignment="0" applyProtection="0"/>
    <xf numFmtId="0" fontId="30" fillId="7" borderId="5" applyNumberFormat="0" applyAlignment="0" applyProtection="0"/>
    <xf numFmtId="0" fontId="31" fillId="7" borderId="4" applyNumberFormat="0" applyAlignment="0" applyProtection="0"/>
    <xf numFmtId="0" fontId="32" fillId="0" borderId="6" applyNumberFormat="0" applyFill="0" applyAlignment="0" applyProtection="0"/>
    <xf numFmtId="0" fontId="33" fillId="8" borderId="7" applyNumberFormat="0" applyAlignment="0" applyProtection="0"/>
    <xf numFmtId="0" fontId="34" fillId="0" borderId="0" applyNumberFormat="0" applyFill="0" applyBorder="0" applyAlignment="0" applyProtection="0"/>
    <xf numFmtId="0" fontId="38" fillId="9" borderId="8" applyNumberFormat="0" applyFont="0" applyAlignment="0" applyProtection="0"/>
    <xf numFmtId="0" fontId="35" fillId="0" borderId="0" applyNumberFormat="0" applyFill="0" applyBorder="0" applyAlignment="0" applyProtection="0"/>
    <xf numFmtId="0" fontId="36" fillId="0" borderId="9" applyNumberFormat="0" applyFill="0" applyAlignment="0" applyProtection="0"/>
    <xf numFmtId="0" fontId="37" fillId="10" borderId="0" applyNumberFormat="0" applyBorder="0" applyAlignment="0" applyProtection="0"/>
    <xf numFmtId="0" fontId="38" fillId="11" borderId="0" applyNumberFormat="0" applyBorder="0" applyAlignment="0" applyProtection="0"/>
    <xf numFmtId="0" fontId="38" fillId="12" borderId="0" applyNumberFormat="0" applyBorder="0" applyAlignment="0" applyProtection="0"/>
    <xf numFmtId="0" fontId="38" fillId="13" borderId="0" applyNumberFormat="0" applyBorder="0" applyAlignment="0" applyProtection="0"/>
    <xf numFmtId="0" fontId="37" fillId="14" borderId="0" applyNumberFormat="0" applyBorder="0" applyAlignment="0" applyProtection="0"/>
    <xf numFmtId="0" fontId="38" fillId="15" borderId="0" applyNumberFormat="0" applyBorder="0" applyAlignment="0" applyProtection="0"/>
    <xf numFmtId="0" fontId="38" fillId="16" borderId="0" applyNumberFormat="0" applyBorder="0" applyAlignment="0" applyProtection="0"/>
    <xf numFmtId="0" fontId="38" fillId="17" borderId="0" applyNumberFormat="0" applyBorder="0" applyAlignment="0" applyProtection="0"/>
    <xf numFmtId="0" fontId="37" fillId="18" borderId="0" applyNumberFormat="0" applyBorder="0" applyAlignment="0" applyProtection="0"/>
    <xf numFmtId="0" fontId="38" fillId="19" borderId="0" applyNumberFormat="0" applyBorder="0" applyAlignment="0" applyProtection="0"/>
    <xf numFmtId="0" fontId="38" fillId="20" borderId="0" applyNumberFormat="0" applyBorder="0" applyAlignment="0" applyProtection="0"/>
    <xf numFmtId="0" fontId="38" fillId="21" borderId="0" applyNumberFormat="0" applyBorder="0" applyAlignment="0" applyProtection="0"/>
    <xf numFmtId="0" fontId="37" fillId="22" borderId="0" applyNumberFormat="0" applyBorder="0" applyAlignment="0" applyProtection="0"/>
    <xf numFmtId="0" fontId="38" fillId="23" borderId="0" applyNumberFormat="0" applyBorder="0" applyAlignment="0" applyProtection="0"/>
    <xf numFmtId="0" fontId="38" fillId="24" borderId="0" applyNumberFormat="0" applyBorder="0" applyAlignment="0" applyProtection="0"/>
    <xf numFmtId="0" fontId="38" fillId="25" borderId="0" applyNumberFormat="0" applyBorder="0" applyAlignment="0" applyProtection="0"/>
    <xf numFmtId="0" fontId="37" fillId="26" borderId="0" applyNumberFormat="0" applyBorder="0" applyAlignment="0" applyProtection="0"/>
    <xf numFmtId="0" fontId="38" fillId="27" borderId="0" applyNumberFormat="0" applyBorder="0" applyAlignment="0" applyProtection="0"/>
    <xf numFmtId="0" fontId="38" fillId="28" borderId="0" applyNumberFormat="0" applyBorder="0" applyAlignment="0" applyProtection="0"/>
    <xf numFmtId="0" fontId="38" fillId="29" borderId="0" applyNumberFormat="0" applyBorder="0" applyAlignment="0" applyProtection="0"/>
    <xf numFmtId="0" fontId="37" fillId="30" borderId="0" applyNumberFormat="0" applyBorder="0" applyAlignment="0" applyProtection="0"/>
    <xf numFmtId="0" fontId="38" fillId="31" borderId="0" applyNumberFormat="0" applyBorder="0" applyAlignment="0" applyProtection="0"/>
    <xf numFmtId="0" fontId="38" fillId="32" borderId="0" applyNumberFormat="0" applyBorder="0" applyAlignment="0" applyProtection="0"/>
    <xf numFmtId="0" fontId="38" fillId="33" borderId="0" applyNumberFormat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37" fillId="13" borderId="0" applyNumberFormat="0" applyBorder="0" applyAlignment="0" applyProtection="0"/>
    <xf numFmtId="0" fontId="37" fillId="29" borderId="0" applyNumberFormat="0" applyBorder="0" applyAlignment="0" applyProtection="0"/>
    <xf numFmtId="0" fontId="37" fillId="25" borderId="0" applyNumberFormat="0" applyBorder="0" applyAlignment="0" applyProtection="0"/>
    <xf numFmtId="0" fontId="37" fillId="21" borderId="0" applyNumberFormat="0" applyBorder="0" applyAlignment="0" applyProtection="0"/>
    <xf numFmtId="0" fontId="42" fillId="0" borderId="0"/>
    <xf numFmtId="0" fontId="37" fillId="17" borderId="0" applyNumberFormat="0" applyBorder="0" applyAlignment="0" applyProtection="0"/>
    <xf numFmtId="165" fontId="42" fillId="0" borderId="0" applyFont="0" applyFill="0" applyBorder="0" applyAlignment="0" applyProtection="0"/>
    <xf numFmtId="164" fontId="42" fillId="0" borderId="0" applyFont="0" applyFill="0" applyBorder="0" applyAlignment="0" applyProtection="0"/>
    <xf numFmtId="0" fontId="43" fillId="5" borderId="0" applyNumberFormat="0" applyBorder="0" applyAlignment="0" applyProtection="0"/>
    <xf numFmtId="0" fontId="37" fillId="33" borderId="0" applyNumberFormat="0" applyBorder="0" applyAlignment="0" applyProtection="0"/>
    <xf numFmtId="0" fontId="42" fillId="0" borderId="0"/>
    <xf numFmtId="0" fontId="44" fillId="0" borderId="0"/>
    <xf numFmtId="0" fontId="45" fillId="0" borderId="0"/>
    <xf numFmtId="0" fontId="46" fillId="0" borderId="0"/>
    <xf numFmtId="43" fontId="46" fillId="0" borderId="0" applyFont="0" applyFill="0" applyBorder="0" applyAlignment="0" applyProtection="0"/>
    <xf numFmtId="0" fontId="2" fillId="0" borderId="0"/>
    <xf numFmtId="41" fontId="42" fillId="0" borderId="0" applyFont="0" applyFill="0" applyBorder="0" applyAlignment="0" applyProtection="0"/>
    <xf numFmtId="0" fontId="48" fillId="0" borderId="0"/>
    <xf numFmtId="43" fontId="48" fillId="0" borderId="0" applyFont="0" applyFill="0" applyBorder="0" applyAlignment="0" applyProtection="0"/>
  </cellStyleXfs>
  <cellXfs count="68">
    <xf numFmtId="0" fontId="0" fillId="0" borderId="0" xfId="0"/>
    <xf numFmtId="0" fontId="0" fillId="0" borderId="0" xfId="0" applyFont="1" applyFill="1" applyProtection="1"/>
    <xf numFmtId="0" fontId="40" fillId="0" borderId="21" xfId="0" applyFont="1" applyFill="1" applyBorder="1" applyAlignment="1" applyProtection="1">
      <alignment horizontal="left" vertical="center" wrapText="1"/>
    </xf>
    <xf numFmtId="0" fontId="40" fillId="0" borderId="21" xfId="0" applyFont="1" applyFill="1" applyBorder="1" applyAlignment="1" applyProtection="1">
      <alignment horizontal="justify" vertical="center" wrapText="1"/>
    </xf>
    <xf numFmtId="168" fontId="0" fillId="0" borderId="0" xfId="1" applyNumberFormat="1" applyFont="1" applyFill="1" applyProtection="1"/>
    <xf numFmtId="0" fontId="40" fillId="0" borderId="18" xfId="0" applyFont="1" applyFill="1" applyBorder="1" applyAlignment="1" applyProtection="1">
      <alignment horizontal="left" vertical="center" wrapText="1"/>
    </xf>
    <xf numFmtId="0" fontId="17" fillId="0" borderId="13" xfId="0" applyFont="1" applyFill="1" applyBorder="1" applyProtection="1"/>
    <xf numFmtId="0" fontId="17" fillId="0" borderId="15" xfId="0" applyFont="1" applyFill="1" applyBorder="1" applyProtection="1"/>
    <xf numFmtId="0" fontId="17" fillId="0" borderId="28" xfId="0" applyFont="1" applyFill="1" applyBorder="1" applyProtection="1"/>
    <xf numFmtId="170" fontId="17" fillId="0" borderId="25" xfId="1" applyNumberFormat="1" applyFont="1" applyFill="1" applyBorder="1" applyProtection="1"/>
    <xf numFmtId="169" fontId="41" fillId="0" borderId="29" xfId="1" applyNumberFormat="1" applyFont="1" applyFill="1" applyBorder="1" applyAlignment="1" applyProtection="1">
      <alignment horizontal="center" vertical="center" wrapText="1"/>
    </xf>
    <xf numFmtId="166" fontId="17" fillId="0" borderId="0" xfId="1" applyNumberFormat="1" applyFont="1" applyFill="1" applyBorder="1" applyAlignment="1" applyProtection="1">
      <alignment horizontal="center" vertical="center" wrapText="1"/>
    </xf>
    <xf numFmtId="10" fontId="0" fillId="0" borderId="23" xfId="0" applyNumberFormat="1" applyFont="1" applyFill="1" applyBorder="1" applyProtection="1"/>
    <xf numFmtId="0" fontId="40" fillId="0" borderId="20" xfId="0" applyFont="1" applyFill="1" applyBorder="1" applyAlignment="1" applyProtection="1">
      <alignment horizontal="justify" vertical="center"/>
    </xf>
    <xf numFmtId="0" fontId="40" fillId="0" borderId="26" xfId="0" applyFont="1" applyFill="1" applyBorder="1" applyAlignment="1" applyProtection="1">
      <alignment horizontal="justify" vertical="center"/>
    </xf>
    <xf numFmtId="0" fontId="40" fillId="0" borderId="26" xfId="0" applyFont="1" applyFill="1" applyBorder="1" applyAlignment="1" applyProtection="1">
      <alignment horizontal="left" vertical="center" wrapText="1"/>
    </xf>
    <xf numFmtId="168" fontId="40" fillId="0" borderId="22" xfId="1" applyNumberFormat="1" applyFont="1" applyFill="1" applyBorder="1" applyAlignment="1" applyProtection="1">
      <alignment horizontal="justify" vertical="center" wrapText="1"/>
    </xf>
    <xf numFmtId="168" fontId="40" fillId="34" borderId="24" xfId="1" applyNumberFormat="1" applyFont="1" applyFill="1" applyBorder="1" applyAlignment="1" applyProtection="1">
      <alignment horizontal="justify" vertical="center" wrapText="1"/>
    </xf>
    <xf numFmtId="0" fontId="40" fillId="0" borderId="11" xfId="0" applyFont="1" applyFill="1" applyBorder="1" applyAlignment="1" applyProtection="1">
      <alignment horizontal="justify" vertical="center" wrapText="1"/>
    </xf>
    <xf numFmtId="0" fontId="40" fillId="0" borderId="12" xfId="0" applyFont="1" applyFill="1" applyBorder="1" applyAlignment="1" applyProtection="1">
      <alignment horizontal="left" vertical="center" wrapText="1"/>
    </xf>
    <xf numFmtId="10" fontId="0" fillId="0" borderId="14" xfId="0" applyNumberFormat="1" applyFont="1" applyFill="1" applyBorder="1" applyProtection="1"/>
    <xf numFmtId="0" fontId="39" fillId="0" borderId="13" xfId="0" applyFont="1" applyFill="1" applyBorder="1" applyAlignment="1" applyProtection="1">
      <alignment horizontal="justify" vertical="center"/>
    </xf>
    <xf numFmtId="0" fontId="39" fillId="0" borderId="10" xfId="0" applyFont="1" applyFill="1" applyBorder="1" applyAlignment="1" applyProtection="1">
      <alignment horizontal="justify" vertical="center"/>
    </xf>
    <xf numFmtId="0" fontId="39" fillId="0" borderId="10" xfId="0" applyFont="1" applyFill="1" applyBorder="1" applyAlignment="1" applyProtection="1">
      <alignment horizontal="justify" vertical="center" wrapText="1"/>
    </xf>
    <xf numFmtId="0" fontId="39" fillId="0" borderId="16" xfId="0" applyFont="1" applyFill="1" applyBorder="1" applyAlignment="1" applyProtection="1">
      <alignment horizontal="justify" vertical="center" wrapText="1"/>
    </xf>
    <xf numFmtId="10" fontId="0" fillId="0" borderId="17" xfId="0" applyNumberFormat="1" applyFont="1" applyFill="1" applyBorder="1" applyProtection="1"/>
    <xf numFmtId="167" fontId="2" fillId="0" borderId="0" xfId="0" applyNumberFormat="1" applyFont="1" applyFill="1" applyProtection="1"/>
    <xf numFmtId="169" fontId="40" fillId="2" borderId="19" xfId="1" applyNumberFormat="1" applyFont="1" applyFill="1" applyBorder="1" applyAlignment="1" applyProtection="1">
      <alignment horizontal="right" vertical="center" wrapText="1"/>
      <protection locked="0"/>
    </xf>
    <xf numFmtId="170" fontId="17" fillId="2" borderId="10" xfId="1" applyNumberFormat="1" applyFont="1" applyFill="1" applyBorder="1" applyProtection="1">
      <protection locked="0"/>
    </xf>
    <xf numFmtId="170" fontId="17" fillId="2" borderId="16" xfId="1" applyNumberFormat="1" applyFont="1" applyFill="1" applyBorder="1" applyProtection="1">
      <protection locked="0"/>
    </xf>
    <xf numFmtId="0" fontId="40" fillId="0" borderId="31" xfId="0" applyFont="1" applyFill="1" applyBorder="1" applyAlignment="1" applyProtection="1">
      <alignment horizontal="justify" vertical="center"/>
    </xf>
    <xf numFmtId="0" fontId="40" fillId="0" borderId="32" xfId="0" applyFont="1" applyFill="1" applyBorder="1" applyAlignment="1" applyProtection="1">
      <alignment horizontal="justify" vertical="center"/>
    </xf>
    <xf numFmtId="0" fontId="40" fillId="0" borderId="32" xfId="0" applyFont="1" applyFill="1" applyBorder="1" applyAlignment="1" applyProtection="1">
      <alignment horizontal="justify" vertical="center" wrapText="1"/>
    </xf>
    <xf numFmtId="0" fontId="40" fillId="0" borderId="32" xfId="0" applyFont="1" applyFill="1" applyBorder="1" applyAlignment="1" applyProtection="1">
      <alignment horizontal="right" vertical="center" wrapText="1"/>
    </xf>
    <xf numFmtId="169" fontId="40" fillId="0" borderId="33" xfId="1" applyNumberFormat="1" applyFont="1" applyFill="1" applyBorder="1" applyAlignment="1" applyProtection="1">
      <alignment horizontal="center" vertical="center" wrapText="1"/>
    </xf>
    <xf numFmtId="169" fontId="40" fillId="34" borderId="34" xfId="1" applyNumberFormat="1" applyFont="1" applyFill="1" applyBorder="1" applyAlignment="1" applyProtection="1">
      <alignment horizontal="center" vertical="center" wrapText="1"/>
    </xf>
    <xf numFmtId="169" fontId="40" fillId="0" borderId="35" xfId="1" applyNumberFormat="1" applyFont="1" applyFill="1" applyBorder="1" applyAlignment="1" applyProtection="1">
      <alignment horizontal="center" vertical="center" wrapText="1"/>
    </xf>
    <xf numFmtId="0" fontId="0" fillId="0" borderId="36" xfId="0" applyFont="1" applyFill="1" applyBorder="1" applyProtection="1"/>
    <xf numFmtId="168" fontId="2" fillId="2" borderId="10" xfId="1" applyNumberFormat="1" applyFont="1" applyFill="1" applyBorder="1" applyAlignment="1" applyProtection="1">
      <alignment horizontal="right"/>
      <protection locked="0"/>
    </xf>
    <xf numFmtId="168" fontId="0" fillId="34" borderId="10" xfId="1" applyNumberFormat="1" applyFont="1" applyFill="1" applyBorder="1" applyProtection="1"/>
    <xf numFmtId="168" fontId="0" fillId="2" borderId="10" xfId="1" applyNumberFormat="1" applyFont="1" applyFill="1" applyBorder="1" applyProtection="1">
      <protection locked="0"/>
    </xf>
    <xf numFmtId="0" fontId="39" fillId="0" borderId="11" xfId="0" applyFont="1" applyFill="1" applyBorder="1" applyAlignment="1" applyProtection="1">
      <alignment horizontal="justify" vertical="center"/>
    </xf>
    <xf numFmtId="0" fontId="39" fillId="0" borderId="37" xfId="0" applyFont="1" applyFill="1" applyBorder="1" applyAlignment="1" applyProtection="1">
      <alignment horizontal="justify" vertical="center"/>
    </xf>
    <xf numFmtId="0" fontId="39" fillId="0" borderId="37" xfId="0" applyFont="1" applyFill="1" applyBorder="1" applyAlignment="1" applyProtection="1">
      <alignment horizontal="justify" vertical="center" wrapText="1"/>
    </xf>
    <xf numFmtId="168" fontId="2" fillId="2" borderId="37" xfId="1" applyNumberFormat="1" applyFont="1" applyFill="1" applyBorder="1" applyAlignment="1" applyProtection="1">
      <alignment horizontal="right"/>
      <protection locked="0"/>
    </xf>
    <xf numFmtId="168" fontId="0" fillId="34" borderId="37" xfId="1" applyNumberFormat="1" applyFont="1" applyFill="1" applyBorder="1" applyProtection="1"/>
    <xf numFmtId="10" fontId="0" fillId="0" borderId="12" xfId="0" applyNumberFormat="1" applyFont="1" applyFill="1" applyBorder="1" applyProtection="1"/>
    <xf numFmtId="168" fontId="0" fillId="2" borderId="16" xfId="1" applyNumberFormat="1" applyFont="1" applyFill="1" applyBorder="1" applyProtection="1">
      <protection locked="0"/>
    </xf>
    <xf numFmtId="168" fontId="0" fillId="34" borderId="16" xfId="1" applyNumberFormat="1" applyFont="1" applyFill="1" applyBorder="1" applyProtection="1"/>
    <xf numFmtId="171" fontId="0" fillId="0" borderId="0" xfId="0" applyNumberFormat="1" applyFont="1" applyFill="1" applyProtection="1"/>
    <xf numFmtId="0" fontId="0" fillId="0" borderId="10" xfId="0" quotePrefix="1" applyFill="1" applyBorder="1" applyAlignment="1">
      <alignment horizontal="left"/>
    </xf>
    <xf numFmtId="0" fontId="47" fillId="0" borderId="0" xfId="0" applyFont="1" applyFill="1" applyBorder="1" applyProtection="1"/>
    <xf numFmtId="0" fontId="40" fillId="0" borderId="40" xfId="0" applyFont="1" applyFill="1" applyBorder="1" applyAlignment="1" applyProtection="1">
      <alignment horizontal="center" vertical="center" wrapText="1"/>
    </xf>
    <xf numFmtId="0" fontId="17" fillId="0" borderId="30" xfId="0" applyFont="1" applyFill="1" applyBorder="1" applyAlignment="1" applyProtection="1">
      <alignment horizontal="left" vertical="center"/>
    </xf>
    <xf numFmtId="0" fontId="40" fillId="0" borderId="0" xfId="0" applyFont="1" applyFill="1" applyBorder="1" applyAlignment="1" applyProtection="1">
      <alignment horizontal="center" vertical="center" wrapText="1"/>
    </xf>
    <xf numFmtId="169" fontId="41" fillId="0" borderId="0" xfId="1" applyNumberFormat="1" applyFont="1" applyFill="1" applyBorder="1" applyAlignment="1" applyProtection="1">
      <alignment horizontal="center" vertical="center" wrapText="1"/>
    </xf>
    <xf numFmtId="0" fontId="17" fillId="0" borderId="24" xfId="0" applyFont="1" applyFill="1" applyBorder="1" applyAlignment="1" applyProtection="1">
      <alignment horizontal="center" vertical="center"/>
    </xf>
    <xf numFmtId="169" fontId="40" fillId="2" borderId="38" xfId="1" applyNumberFormat="1" applyFont="1" applyFill="1" applyBorder="1" applyAlignment="1" applyProtection="1">
      <alignment horizontal="right" vertical="center" wrapText="1"/>
      <protection locked="0"/>
    </xf>
    <xf numFmtId="170" fontId="17" fillId="2" borderId="39" xfId="1" applyNumberFormat="1" applyFont="1" applyFill="1" applyBorder="1" applyProtection="1">
      <protection locked="0"/>
    </xf>
    <xf numFmtId="170" fontId="17" fillId="2" borderId="41" xfId="1" applyNumberFormat="1" applyFont="1" applyFill="1" applyBorder="1" applyProtection="1">
      <protection locked="0"/>
    </xf>
    <xf numFmtId="0" fontId="40" fillId="0" borderId="30" xfId="0" applyFont="1" applyFill="1" applyBorder="1" applyAlignment="1" applyProtection="1">
      <alignment horizontal="center" vertical="center" wrapText="1"/>
    </xf>
    <xf numFmtId="0" fontId="17" fillId="0" borderId="42" xfId="0" applyFont="1" applyFill="1" applyBorder="1" applyProtection="1"/>
    <xf numFmtId="10" fontId="17" fillId="0" borderId="43" xfId="0" applyNumberFormat="1" applyFont="1" applyFill="1" applyBorder="1" applyProtection="1"/>
    <xf numFmtId="10" fontId="17" fillId="0" borderId="27" xfId="0" applyNumberFormat="1" applyFont="1" applyFill="1" applyBorder="1" applyProtection="1"/>
    <xf numFmtId="0" fontId="39" fillId="0" borderId="44" xfId="0" applyFont="1" applyFill="1" applyBorder="1" applyAlignment="1" applyProtection="1">
      <alignment horizontal="justify" vertical="center"/>
    </xf>
    <xf numFmtId="0" fontId="0" fillId="0" borderId="0" xfId="0" applyFont="1" applyFill="1" applyBorder="1" applyProtection="1"/>
    <xf numFmtId="0" fontId="39" fillId="0" borderId="33" xfId="0" applyFont="1" applyFill="1" applyBorder="1" applyAlignment="1" applyProtection="1">
      <alignment horizontal="justify" vertical="center"/>
    </xf>
    <xf numFmtId="0" fontId="39" fillId="0" borderId="15" xfId="0" applyFont="1" applyFill="1" applyBorder="1" applyAlignment="1" applyProtection="1">
      <alignment horizontal="justify" vertical="center" wrapText="1"/>
    </xf>
  </cellXfs>
  <cellStyles count="111">
    <cellStyle name="=C:\WINNT\SYSTEM32\COMMAND.COM" xfId="107" xr:uid="{0AB39FFA-8A6F-421E-892A-FBC902977757}"/>
    <cellStyle name="20% - Accent1" xfId="20" builtinId="30" customBuiltin="1"/>
    <cellStyle name="20% - Accent1 2" xfId="67" xr:uid="{8F15FBEF-FF4C-4A45-8DD2-DC004B8EED6B}"/>
    <cellStyle name="20% - Accent2" xfId="24" builtinId="34" customBuiltin="1"/>
    <cellStyle name="20% - Accent2 2" xfId="71" xr:uid="{8E44B0FC-2806-432D-AD80-4B9E70F947A1}"/>
    <cellStyle name="20% - Accent3" xfId="28" builtinId="38" customBuiltin="1"/>
    <cellStyle name="20% - Accent3 2" xfId="75" xr:uid="{1F6A5D4B-18FC-45B2-8980-A269501C9E26}"/>
    <cellStyle name="20% - Accent4" xfId="32" builtinId="42" customBuiltin="1"/>
    <cellStyle name="20% - Accent4 2" xfId="79" xr:uid="{D066B5B2-245D-4B6E-80FA-F618116F6400}"/>
    <cellStyle name="20% - Accent5" xfId="36" builtinId="46" customBuiltin="1"/>
    <cellStyle name="20% - Accent5 2" xfId="83" xr:uid="{FD036788-EDA1-4EFC-B8FC-D5773EE556A4}"/>
    <cellStyle name="20% - Accent6" xfId="40" builtinId="50" customBuiltin="1"/>
    <cellStyle name="20% - Accent6 2" xfId="87" xr:uid="{656F33D1-B5A4-4D0F-BB0C-D27DADF539E0}"/>
    <cellStyle name="40% - Accent1" xfId="21" builtinId="31" customBuiltin="1"/>
    <cellStyle name="40% - Accent1 2" xfId="68" xr:uid="{2B460116-5ECC-4B62-A06C-47294FA68906}"/>
    <cellStyle name="40% - Accent2" xfId="25" builtinId="35" customBuiltin="1"/>
    <cellStyle name="40% - Accent2 2" xfId="72" xr:uid="{9708D4F6-2BC5-490D-A717-03B1531531DD}"/>
    <cellStyle name="40% - Accent3" xfId="29" builtinId="39" customBuiltin="1"/>
    <cellStyle name="40% - Accent3 2" xfId="76" xr:uid="{97DAA45B-E301-46FC-A2DD-DCBEEBE94535}"/>
    <cellStyle name="40% - Accent4" xfId="33" builtinId="43" customBuiltin="1"/>
    <cellStyle name="40% - Accent4 2" xfId="80" xr:uid="{5324AA9E-0440-403B-8921-4AA5567C180F}"/>
    <cellStyle name="40% - Accent5" xfId="37" builtinId="47" customBuiltin="1"/>
    <cellStyle name="40% - Accent5 2" xfId="84" xr:uid="{F68171B2-32B1-4EB1-B378-E5B3AF2C9B7F}"/>
    <cellStyle name="40% - Accent6" xfId="41" builtinId="51" customBuiltin="1"/>
    <cellStyle name="40% - Accent6 2" xfId="88" xr:uid="{EC6B97C1-2D47-487F-8F19-282FD51ED099}"/>
    <cellStyle name="60% - Accent1" xfId="22" builtinId="32" customBuiltin="1"/>
    <cellStyle name="60% - Accent1 2" xfId="69" xr:uid="{4C589D3E-75E2-4903-87F3-929E5C067426}"/>
    <cellStyle name="60% - Accent1 3" xfId="92" xr:uid="{5872C266-2FAF-4863-AA87-7AC359AB734C}"/>
    <cellStyle name="60% - Accent2" xfId="26" builtinId="36" customBuiltin="1"/>
    <cellStyle name="60% - Accent2 2" xfId="73" xr:uid="{DEF829BF-4C97-426F-AB7F-F6F830CC1DAD}"/>
    <cellStyle name="60% - Accent2 3" xfId="97" xr:uid="{281817FC-A401-4B95-AAFB-4F6E0C9E8C1B}"/>
    <cellStyle name="60% - Accent3" xfId="30" builtinId="40" customBuiltin="1"/>
    <cellStyle name="60% - Accent3 2" xfId="77" xr:uid="{B235DA9C-9344-485E-97B6-62912B12E70E}"/>
    <cellStyle name="60% - Accent3 3" xfId="95" xr:uid="{0A492044-92DF-4F4A-A4E6-A8A6B6FCB6CB}"/>
    <cellStyle name="60% - Accent4" xfId="34" builtinId="44" customBuiltin="1"/>
    <cellStyle name="60% - Accent4 2" xfId="81" xr:uid="{FC071628-7E6B-4CC3-8BA8-2D4790C15715}"/>
    <cellStyle name="60% - Accent4 3" xfId="94" xr:uid="{00472F2F-D95C-414A-ADB3-6E3ECAE6513F}"/>
    <cellStyle name="60% - Accent5" xfId="38" builtinId="48" customBuiltin="1"/>
    <cellStyle name="60% - Accent5 2" xfId="85" xr:uid="{D19299F7-906B-48A4-96AB-3BC86FA2A87B}"/>
    <cellStyle name="60% - Accent5 3" xfId="93" xr:uid="{6ED3C511-2F0E-45BC-97B3-0DD06B3F6671}"/>
    <cellStyle name="60% - Accent6" xfId="42" builtinId="52" customBuiltin="1"/>
    <cellStyle name="60% - Accent6 2" xfId="89" xr:uid="{B347E725-4B8E-47BD-AD6B-E79C2473CE61}"/>
    <cellStyle name="60% - Accent6 3" xfId="101" xr:uid="{C187674B-544D-4133-9420-989164D9DCD2}"/>
    <cellStyle name="Accent1" xfId="19" builtinId="29" customBuiltin="1"/>
    <cellStyle name="Accent1 2" xfId="66" xr:uid="{5640B0AB-830A-433C-8D91-DFB733B31C9F}"/>
    <cellStyle name="Accent2" xfId="23" builtinId="33" customBuiltin="1"/>
    <cellStyle name="Accent2 2" xfId="70" xr:uid="{7FA95F1A-FED5-4AFB-B0AA-7067FC73A832}"/>
    <cellStyle name="Accent3" xfId="27" builtinId="37" customBuiltin="1"/>
    <cellStyle name="Accent3 2" xfId="74" xr:uid="{F4DCA308-67AA-4275-AD54-D12BE0FD8C6A}"/>
    <cellStyle name="Accent4" xfId="31" builtinId="41" customBuiltin="1"/>
    <cellStyle name="Accent4 2" xfId="78" xr:uid="{63E74F51-34D2-44F9-A035-D16F5B9DF048}"/>
    <cellStyle name="Accent5" xfId="35" builtinId="45" customBuiltin="1"/>
    <cellStyle name="Accent5 2" xfId="82" xr:uid="{AE0E1D41-65C8-45C8-AB2A-815A9A91452D}"/>
    <cellStyle name="Accent6" xfId="39" builtinId="49" customBuiltin="1"/>
    <cellStyle name="Accent6 2" xfId="86" xr:uid="{423FE119-1EFF-4C6E-8F37-E8F907F61ACC}"/>
    <cellStyle name="Bad" xfId="8" builtinId="27" customBuiltin="1"/>
    <cellStyle name="Bad 2" xfId="55" xr:uid="{82F574A7-0B5F-4F46-960D-074FECA9BA44}"/>
    <cellStyle name="Calculation" xfId="12" builtinId="22" customBuiltin="1"/>
    <cellStyle name="Calculation 2" xfId="59" xr:uid="{7234E8D0-D11F-4E75-B49A-0F517F28265C}"/>
    <cellStyle name="Check Cell" xfId="14" builtinId="23" customBuiltin="1"/>
    <cellStyle name="Check Cell 2" xfId="61" xr:uid="{5ED92F8B-C908-437E-A0CB-2C633827A405}"/>
    <cellStyle name="Comma" xfId="1" builtinId="3"/>
    <cellStyle name="Comma [0] 2" xfId="99" xr:uid="{86F94167-8334-4B12-8505-00E19A7DE7F6}"/>
    <cellStyle name="Comma [0] 3" xfId="108" xr:uid="{9A1B0D6E-141B-4190-A2F8-3613B885B11B}"/>
    <cellStyle name="Comma 2" xfId="91" xr:uid="{3D7DA00B-82CB-4F56-8CAF-60B476836B92}"/>
    <cellStyle name="Comma 3" xfId="106" xr:uid="{E4484785-7CE9-408B-A964-E51C847CE9D2}"/>
    <cellStyle name="Comma 4" xfId="110" xr:uid="{69F168A1-7A65-4290-AD1D-CFB3935C139E}"/>
    <cellStyle name="Currency 2" xfId="98" xr:uid="{EA09176B-4990-410F-B722-7E63030C52E3}"/>
    <cellStyle name="Explanatory Text" xfId="17" builtinId="53" customBuiltin="1"/>
    <cellStyle name="Explanatory Text 2" xfId="64" xr:uid="{11AA2CBD-9F46-43D9-852F-3EB2F5D52B0E}"/>
    <cellStyle name="Good" xfId="7" builtinId="26" customBuiltin="1"/>
    <cellStyle name="Good 2" xfId="54" xr:uid="{FC5F8039-BFFF-4D9C-9CD5-25F229012ADA}"/>
    <cellStyle name="Heading 1" xfId="3" builtinId="16" customBuiltin="1"/>
    <cellStyle name="Heading 1 2" xfId="50" xr:uid="{5981AC2F-39E0-4B8C-AC30-1C79956E87B7}"/>
    <cellStyle name="Heading 2" xfId="4" builtinId="17" customBuiltin="1"/>
    <cellStyle name="Heading 2 2" xfId="49" xr:uid="{86054311-B7BF-4D4B-AA7D-E0EA850D299D}"/>
    <cellStyle name="Heading 3" xfId="5" builtinId="18" customBuiltin="1"/>
    <cellStyle name="Heading 3 2" xfId="52" xr:uid="{A0884157-F839-4AEC-8D29-CDD410E1D695}"/>
    <cellStyle name="Heading 4" xfId="6" builtinId="19" customBuiltin="1"/>
    <cellStyle name="Heading 4 2" xfId="53" xr:uid="{49626F42-3B59-457E-A124-155F19956AD1}"/>
    <cellStyle name="Input" xfId="10" builtinId="20" customBuiltin="1"/>
    <cellStyle name="Input 2" xfId="57" xr:uid="{28AF83DB-6642-4738-BB0A-DD290EE7B2BF}"/>
    <cellStyle name="Linked Cell" xfId="13" builtinId="24" customBuiltin="1"/>
    <cellStyle name="Linked Cell 2" xfId="60" xr:uid="{70144B92-390B-4FF9-BF63-019CAD812B18}"/>
    <cellStyle name="Neutral" xfId="9" builtinId="28" customBuiltin="1"/>
    <cellStyle name="Neutral 2" xfId="56" xr:uid="{E409BF7F-E8FA-4CDB-9184-2F1C5FB41E8C}"/>
    <cellStyle name="Neutral 3" xfId="100" xr:uid="{1DAFF45C-EF5C-4F4F-94F0-97024006FF20}"/>
    <cellStyle name="Normal" xfId="0" builtinId="0"/>
    <cellStyle name="Normal 10" xfId="103" xr:uid="{08CF0AF2-6BAB-47AB-8146-6665E7A1EEEC}"/>
    <cellStyle name="Normal 11" xfId="104" xr:uid="{199B05A2-1248-4CDD-9085-B4924424F65B}"/>
    <cellStyle name="Normal 12" xfId="105" xr:uid="{54D1ADBB-CE28-4F86-93B9-550D741884B1}"/>
    <cellStyle name="Normal 13" xfId="109" xr:uid="{547C3D1D-956C-43DA-92E6-A715A4D2DB0F}"/>
    <cellStyle name="Normal 2" xfId="43" xr:uid="{BC866FCE-71B9-4011-92CB-F0D8D64FF3AE}"/>
    <cellStyle name="Normal 2 2" xfId="44" xr:uid="{A8B06D21-C6C5-46AC-8A64-4366F80BD9EC}"/>
    <cellStyle name="Normal 3" xfId="47" xr:uid="{C1FE7587-A417-4D4A-9EE8-94C4EE2295D7}"/>
    <cellStyle name="Normal 4" xfId="48" xr:uid="{8220F2B9-E2AE-4A16-AFEE-EC0EE1F1B1C0}"/>
    <cellStyle name="Normal 5" xfId="45" xr:uid="{D3EBD71C-BA11-47E9-BBCE-AEF6F53EAB6C}"/>
    <cellStyle name="Normal 6" xfId="46" xr:uid="{02E16360-BEA1-4CDF-BA84-2623105921F9}"/>
    <cellStyle name="Normal 7" xfId="51" xr:uid="{BCC43FA8-91C1-410E-A961-F82A38F643BD}"/>
    <cellStyle name="Normal 8" xfId="90" xr:uid="{2F529599-9D0B-435B-B70E-CB6981764668}"/>
    <cellStyle name="Normal 9" xfId="96" xr:uid="{96794899-6B01-4562-9405-0E95BF078B94}"/>
    <cellStyle name="Note" xfId="16" builtinId="10" customBuiltin="1"/>
    <cellStyle name="Note 2" xfId="63" xr:uid="{F900E413-5D3B-4F5C-834C-4ED58D7BC90E}"/>
    <cellStyle name="Output" xfId="11" builtinId="21" customBuiltin="1"/>
    <cellStyle name="Output 2" xfId="58" xr:uid="{85FD978B-5820-4673-A913-29CAAE8C8A51}"/>
    <cellStyle name="Title" xfId="2" builtinId="15" customBuiltin="1"/>
    <cellStyle name="Total" xfId="18" builtinId="25" customBuiltin="1"/>
    <cellStyle name="Total 2" xfId="65" xr:uid="{7F540602-C713-4A68-8775-5C7D515D934A}"/>
    <cellStyle name="Warning Text" xfId="15" builtinId="11" customBuiltin="1"/>
    <cellStyle name="Warning Text 2" xfId="62" xr:uid="{16474BB2-D1DA-49CA-8AE7-90C85834A7C5}"/>
    <cellStyle name="一般_04112003" xfId="102" xr:uid="{29A469B9-DA02-4B37-B723-67D595CD1B32}"/>
  </cellStyles>
  <dxfs count="0"/>
  <tableStyles count="0" defaultTableStyle="TableStyleMedium2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228600</xdr:colOff>
          <xdr:row>2</xdr:row>
          <xdr:rowOff>63500</xdr:rowOff>
        </xdr:from>
        <xdr:to>
          <xdr:col>7</xdr:col>
          <xdr:colOff>1181100</xdr:colOff>
          <xdr:row>5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2</xdr:row>
          <xdr:rowOff>50800</xdr:rowOff>
        </xdr:from>
        <xdr:to>
          <xdr:col>9</xdr:col>
          <xdr:colOff>876300</xdr:colOff>
          <xdr:row>4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1A79D-4C19-4EFC-B83F-25B78C0523C4}">
  <sheetPr codeName="Sheet1"/>
  <dimension ref="A1:O35"/>
  <sheetViews>
    <sheetView tabSelected="1" zoomScale="55" zoomScaleNormal="55" workbookViewId="0">
      <pane xSplit="4" ySplit="9" topLeftCell="E10" activePane="bottomRight" state="frozen"/>
      <selection activeCell="J30" sqref="J30"/>
      <selection pane="topRight" activeCell="J30" sqref="J30"/>
      <selection pane="bottomLeft" activeCell="J30" sqref="J30"/>
      <selection pane="bottomRight" activeCell="E6" sqref="E6"/>
    </sheetView>
  </sheetViews>
  <sheetFormatPr defaultColWidth="8.6328125" defaultRowHeight="12.5" x14ac:dyDescent="0.25"/>
  <cols>
    <col min="1" max="1" width="3.6328125" style="1" customWidth="1"/>
    <col min="2" max="2" width="13.36328125" style="1" customWidth="1"/>
    <col min="3" max="3" width="40.81640625" style="1" customWidth="1"/>
    <col min="4" max="4" width="15.1796875" style="1" customWidth="1"/>
    <col min="5" max="5" width="59.1796875" style="1" customWidth="1"/>
    <col min="6" max="6" width="19" style="1" customWidth="1"/>
    <col min="7" max="7" width="22.6328125" style="1" bestFit="1" customWidth="1"/>
    <col min="8" max="8" width="15.453125" style="4" customWidth="1"/>
    <col min="9" max="9" width="2.36328125" style="4" customWidth="1"/>
    <col min="10" max="10" width="14.1796875" style="1" customWidth="1"/>
    <col min="11" max="11" width="10.1796875" style="1" customWidth="1"/>
    <col min="12" max="12" width="2.6328125" style="1" customWidth="1"/>
    <col min="13" max="16384" width="8.6328125" style="1"/>
  </cols>
  <sheetData>
    <row r="1" spans="1:11" ht="26.25" customHeight="1" thickBot="1" x14ac:dyDescent="0.45">
      <c r="B1" s="51"/>
      <c r="C1" s="53" t="s">
        <v>22</v>
      </c>
      <c r="D1" s="52" t="s">
        <v>21</v>
      </c>
      <c r="E1" s="56" t="s">
        <v>24</v>
      </c>
      <c r="F1" s="60" t="s">
        <v>20</v>
      </c>
      <c r="G1" s="54"/>
    </row>
    <row r="2" spans="1:11" ht="13" x14ac:dyDescent="0.3">
      <c r="C2" s="5" t="s">
        <v>19</v>
      </c>
      <c r="D2" s="27">
        <v>45044</v>
      </c>
      <c r="E2" s="57"/>
      <c r="F2" s="61"/>
      <c r="G2" s="55"/>
    </row>
    <row r="3" spans="1:11" ht="13" x14ac:dyDescent="0.3">
      <c r="C3" s="6" t="s">
        <v>0</v>
      </c>
      <c r="D3" s="28">
        <v>8.51</v>
      </c>
      <c r="E3" s="58"/>
      <c r="F3" s="62">
        <f>+(E3-D3)/D3</f>
        <v>-1</v>
      </c>
      <c r="G3" s="55"/>
    </row>
    <row r="4" spans="1:11" ht="13" x14ac:dyDescent="0.3">
      <c r="C4" s="6" t="s">
        <v>1</v>
      </c>
      <c r="D4" s="28">
        <v>1</v>
      </c>
      <c r="E4" s="58">
        <v>1</v>
      </c>
      <c r="F4" s="62">
        <f>+(E4-D4)/D4</f>
        <v>0</v>
      </c>
      <c r="G4" s="55"/>
    </row>
    <row r="5" spans="1:11" ht="13" x14ac:dyDescent="0.3">
      <c r="C5" s="6" t="s">
        <v>2</v>
      </c>
      <c r="D5" s="28">
        <v>5.7431999999999997E-2</v>
      </c>
      <c r="E5" s="58"/>
      <c r="F5" s="62">
        <f>+(E5-D5)/D5</f>
        <v>-1</v>
      </c>
      <c r="G5" s="55"/>
    </row>
    <row r="6" spans="1:11" ht="13.5" thickBot="1" x14ac:dyDescent="0.35">
      <c r="C6" s="7" t="s">
        <v>3</v>
      </c>
      <c r="D6" s="29">
        <v>7.8173000000000004</v>
      </c>
      <c r="E6" s="59"/>
      <c r="F6" s="63">
        <f>+(E6-D6)/D6</f>
        <v>-1</v>
      </c>
      <c r="G6" s="55"/>
    </row>
    <row r="7" spans="1:11" ht="13.5" thickBot="1" x14ac:dyDescent="0.35">
      <c r="C7" s="8"/>
      <c r="D7" s="9"/>
      <c r="E7" s="10"/>
      <c r="F7" s="11"/>
      <c r="G7" s="12"/>
    </row>
    <row r="8" spans="1:11" ht="26.5" thickBot="1" x14ac:dyDescent="0.3">
      <c r="B8" s="13" t="s">
        <v>15</v>
      </c>
      <c r="C8" s="14" t="s">
        <v>16</v>
      </c>
      <c r="D8" s="15" t="s">
        <v>25</v>
      </c>
      <c r="E8" s="3" t="s">
        <v>26</v>
      </c>
      <c r="F8" s="3" t="s">
        <v>17</v>
      </c>
      <c r="G8" s="2" t="s">
        <v>23</v>
      </c>
      <c r="H8" s="18" t="s">
        <v>21</v>
      </c>
      <c r="I8" s="17"/>
      <c r="J8" s="16" t="s">
        <v>18</v>
      </c>
      <c r="K8" s="19" t="s">
        <v>20</v>
      </c>
    </row>
    <row r="9" spans="1:11" ht="18" customHeight="1" thickBot="1" x14ac:dyDescent="0.3">
      <c r="A9" s="65"/>
      <c r="B9" s="30"/>
      <c r="C9" s="31"/>
      <c r="D9" s="32"/>
      <c r="E9" s="32"/>
      <c r="F9" s="32"/>
      <c r="G9" s="33" t="s">
        <v>19</v>
      </c>
      <c r="H9" s="34">
        <f>D2</f>
        <v>45044</v>
      </c>
      <c r="I9" s="35"/>
      <c r="J9" s="36">
        <v>45051</v>
      </c>
      <c r="K9" s="37"/>
    </row>
    <row r="10" spans="1:11" ht="18" customHeight="1" x14ac:dyDescent="0.25">
      <c r="A10" s="65">
        <v>1</v>
      </c>
      <c r="B10" s="41" t="s">
        <v>67</v>
      </c>
      <c r="C10" s="42" t="s">
        <v>5</v>
      </c>
      <c r="D10" s="43" t="s">
        <v>4</v>
      </c>
      <c r="E10" s="43" t="s">
        <v>27</v>
      </c>
      <c r="F10" s="43" t="s">
        <v>5</v>
      </c>
      <c r="G10" s="43" t="s">
        <v>28</v>
      </c>
      <c r="H10" s="44">
        <v>1.532</v>
      </c>
      <c r="I10" s="45"/>
      <c r="J10" s="38"/>
      <c r="K10" s="46" t="e">
        <f>(J10-H10)/J10*100%</f>
        <v>#DIV/0!</v>
      </c>
    </row>
    <row r="11" spans="1:11" ht="18" customHeight="1" x14ac:dyDescent="0.25">
      <c r="A11" s="65">
        <f>+A10+1</f>
        <v>2</v>
      </c>
      <c r="B11" s="66" t="s">
        <v>68</v>
      </c>
      <c r="C11" s="64" t="s">
        <v>5</v>
      </c>
      <c r="D11" s="23" t="s">
        <v>6</v>
      </c>
      <c r="E11" s="23" t="s">
        <v>29</v>
      </c>
      <c r="F11" s="23" t="s">
        <v>5</v>
      </c>
      <c r="G11" s="23" t="s">
        <v>34</v>
      </c>
      <c r="H11" s="38">
        <v>29.44</v>
      </c>
      <c r="I11" s="39"/>
      <c r="J11" s="38"/>
      <c r="K11" s="20" t="e">
        <f>(J11-H11)/J11*100%</f>
        <v>#DIV/0!</v>
      </c>
    </row>
    <row r="12" spans="1:11" ht="18" customHeight="1" x14ac:dyDescent="0.25">
      <c r="A12" s="65">
        <f t="shared" ref="A12:A33" si="0">+A11+1</f>
        <v>3</v>
      </c>
      <c r="B12" s="21" t="s">
        <v>69</v>
      </c>
      <c r="C12" s="22" t="s">
        <v>5</v>
      </c>
      <c r="D12" s="23" t="s">
        <v>6</v>
      </c>
      <c r="E12" s="23" t="s">
        <v>30</v>
      </c>
      <c r="F12" s="23" t="s">
        <v>5</v>
      </c>
      <c r="G12" s="23" t="s">
        <v>35</v>
      </c>
      <c r="H12" s="38">
        <v>116.25</v>
      </c>
      <c r="I12" s="39"/>
      <c r="J12" s="38"/>
      <c r="K12" s="20" t="e">
        <f t="shared" ref="K12:K33" si="1">+(J12-H12)/J12*100%</f>
        <v>#DIV/0!</v>
      </c>
    </row>
    <row r="13" spans="1:11" ht="18" customHeight="1" x14ac:dyDescent="0.25">
      <c r="A13" s="65">
        <f t="shared" si="0"/>
        <v>4</v>
      </c>
      <c r="B13" s="21" t="s">
        <v>70</v>
      </c>
      <c r="C13" s="22" t="s">
        <v>5</v>
      </c>
      <c r="D13" s="23" t="s">
        <v>6</v>
      </c>
      <c r="E13" s="23" t="s">
        <v>31</v>
      </c>
      <c r="F13" s="23" t="s">
        <v>5</v>
      </c>
      <c r="G13" s="23" t="s">
        <v>36</v>
      </c>
      <c r="H13" s="38">
        <v>127.52</v>
      </c>
      <c r="I13" s="39"/>
      <c r="J13" s="38"/>
      <c r="K13" s="20" t="e">
        <f t="shared" si="1"/>
        <v>#DIV/0!</v>
      </c>
    </row>
    <row r="14" spans="1:11" ht="18" customHeight="1" x14ac:dyDescent="0.25">
      <c r="A14" s="65">
        <f t="shared" si="0"/>
        <v>5</v>
      </c>
      <c r="B14" s="21" t="s">
        <v>71</v>
      </c>
      <c r="C14" s="22" t="s">
        <v>5</v>
      </c>
      <c r="D14" s="23" t="s">
        <v>6</v>
      </c>
      <c r="E14" s="23" t="s">
        <v>32</v>
      </c>
      <c r="F14" s="23" t="s">
        <v>5</v>
      </c>
      <c r="G14" s="23" t="s">
        <v>37</v>
      </c>
      <c r="H14" s="38">
        <v>89.45</v>
      </c>
      <c r="I14" s="39"/>
      <c r="J14" s="38"/>
      <c r="K14" s="20" t="e">
        <f t="shared" si="1"/>
        <v>#DIV/0!</v>
      </c>
    </row>
    <row r="15" spans="1:11" ht="18" customHeight="1" x14ac:dyDescent="0.25">
      <c r="A15" s="65">
        <f t="shared" si="0"/>
        <v>6</v>
      </c>
      <c r="B15" s="21" t="s">
        <v>72</v>
      </c>
      <c r="C15" s="22" t="s">
        <v>5</v>
      </c>
      <c r="D15" s="23" t="s">
        <v>7</v>
      </c>
      <c r="E15" s="23" t="s">
        <v>33</v>
      </c>
      <c r="F15" s="23" t="s">
        <v>5</v>
      </c>
      <c r="G15" s="23" t="s">
        <v>38</v>
      </c>
      <c r="H15" s="38">
        <v>274.02999999999997</v>
      </c>
      <c r="I15" s="39"/>
      <c r="J15" s="38"/>
      <c r="K15" s="20" t="e">
        <f t="shared" si="1"/>
        <v>#DIV/0!</v>
      </c>
    </row>
    <row r="16" spans="1:11" ht="18" customHeight="1" x14ac:dyDescent="0.25">
      <c r="A16" s="65">
        <f t="shared" si="0"/>
        <v>7</v>
      </c>
      <c r="B16" s="21" t="s">
        <v>73</v>
      </c>
      <c r="C16" s="22" t="s">
        <v>5</v>
      </c>
      <c r="D16" s="23" t="s">
        <v>7</v>
      </c>
      <c r="E16" s="23" t="s">
        <v>39</v>
      </c>
      <c r="F16" s="23" t="s">
        <v>5</v>
      </c>
      <c r="G16" s="23" t="s">
        <v>40</v>
      </c>
      <c r="H16" s="38">
        <v>42.76</v>
      </c>
      <c r="I16" s="39"/>
      <c r="J16" s="38"/>
      <c r="K16" s="20" t="e">
        <f t="shared" si="1"/>
        <v>#DIV/0!</v>
      </c>
    </row>
    <row r="17" spans="1:15" ht="18" customHeight="1" x14ac:dyDescent="0.25">
      <c r="A17" s="65">
        <f t="shared" si="0"/>
        <v>8</v>
      </c>
      <c r="B17" s="21" t="s">
        <v>74</v>
      </c>
      <c r="C17" s="22" t="s">
        <v>5</v>
      </c>
      <c r="D17" s="23" t="s">
        <v>8</v>
      </c>
      <c r="E17" s="23" t="s">
        <v>41</v>
      </c>
      <c r="F17" s="23" t="s">
        <v>5</v>
      </c>
      <c r="G17" s="23" t="s">
        <v>42</v>
      </c>
      <c r="H17" s="38">
        <v>341.95330000000001</v>
      </c>
      <c r="I17" s="39"/>
      <c r="J17" s="38"/>
      <c r="K17" s="20" t="e">
        <f t="shared" si="1"/>
        <v>#DIV/0!</v>
      </c>
    </row>
    <row r="18" spans="1:15" ht="18" customHeight="1" x14ac:dyDescent="0.25">
      <c r="A18" s="65">
        <f t="shared" si="0"/>
        <v>9</v>
      </c>
      <c r="B18" s="21" t="s">
        <v>75</v>
      </c>
      <c r="C18" s="22" t="s">
        <v>5</v>
      </c>
      <c r="D18" s="23" t="s">
        <v>9</v>
      </c>
      <c r="E18" s="23" t="s">
        <v>63</v>
      </c>
      <c r="F18" s="23" t="s">
        <v>5</v>
      </c>
      <c r="G18" s="23" t="s">
        <v>64</v>
      </c>
      <c r="H18" s="38">
        <v>8.4734999999999996</v>
      </c>
      <c r="I18" s="39"/>
      <c r="J18" s="38"/>
      <c r="K18" s="20" t="e">
        <f t="shared" si="1"/>
        <v>#DIV/0!</v>
      </c>
    </row>
    <row r="19" spans="1:15" ht="18" customHeight="1" x14ac:dyDescent="0.25">
      <c r="A19" s="65">
        <f t="shared" si="0"/>
        <v>10</v>
      </c>
      <c r="B19" s="21" t="s">
        <v>76</v>
      </c>
      <c r="C19" s="22" t="s">
        <v>5</v>
      </c>
      <c r="D19" s="23" t="s">
        <v>10</v>
      </c>
      <c r="E19" s="23" t="s">
        <v>61</v>
      </c>
      <c r="F19" s="23" t="s">
        <v>5</v>
      </c>
      <c r="G19" s="23" t="s">
        <v>62</v>
      </c>
      <c r="H19" s="38">
        <v>8.8699999999999992</v>
      </c>
      <c r="I19" s="39"/>
      <c r="J19" s="38"/>
      <c r="K19" s="20" t="e">
        <f t="shared" si="1"/>
        <v>#DIV/0!</v>
      </c>
    </row>
    <row r="20" spans="1:15" ht="18" customHeight="1" x14ac:dyDescent="0.25">
      <c r="A20" s="65">
        <f t="shared" si="0"/>
        <v>11</v>
      </c>
      <c r="B20" s="21" t="s">
        <v>77</v>
      </c>
      <c r="C20" s="22" t="s">
        <v>5</v>
      </c>
      <c r="D20" s="23" t="s">
        <v>8</v>
      </c>
      <c r="E20" s="23" t="s">
        <v>43</v>
      </c>
      <c r="F20" s="23" t="s">
        <v>5</v>
      </c>
      <c r="G20" s="23" t="s">
        <v>44</v>
      </c>
      <c r="H20" s="38">
        <v>110.2127</v>
      </c>
      <c r="I20" s="39"/>
      <c r="J20" s="38"/>
      <c r="K20" s="20" t="e">
        <f t="shared" si="1"/>
        <v>#DIV/0!</v>
      </c>
      <c r="O20" s="49"/>
    </row>
    <row r="21" spans="1:15" ht="18" customHeight="1" x14ac:dyDescent="0.25">
      <c r="A21" s="65">
        <f t="shared" si="0"/>
        <v>12</v>
      </c>
      <c r="B21" s="21" t="s">
        <v>78</v>
      </c>
      <c r="C21" s="22" t="s">
        <v>5</v>
      </c>
      <c r="D21" s="23" t="s">
        <v>8</v>
      </c>
      <c r="E21" s="23" t="s">
        <v>45</v>
      </c>
      <c r="F21" s="23" t="s">
        <v>5</v>
      </c>
      <c r="G21" s="23" t="s">
        <v>46</v>
      </c>
      <c r="H21" s="38">
        <v>125.3642</v>
      </c>
      <c r="I21" s="39"/>
      <c r="J21" s="38"/>
      <c r="K21" s="20" t="e">
        <f t="shared" si="1"/>
        <v>#DIV/0!</v>
      </c>
      <c r="O21" s="49"/>
    </row>
    <row r="22" spans="1:15" ht="18" customHeight="1" x14ac:dyDescent="0.25">
      <c r="A22" s="65">
        <f t="shared" si="0"/>
        <v>13</v>
      </c>
      <c r="B22" s="21" t="s">
        <v>79</v>
      </c>
      <c r="C22" s="22" t="s">
        <v>5</v>
      </c>
      <c r="D22" s="23" t="s">
        <v>11</v>
      </c>
      <c r="E22" s="23" t="s">
        <v>59</v>
      </c>
      <c r="F22" s="23" t="s">
        <v>5</v>
      </c>
      <c r="G22" s="23" t="s">
        <v>60</v>
      </c>
      <c r="H22" s="38">
        <v>9.68</v>
      </c>
      <c r="I22" s="39"/>
      <c r="J22" s="38"/>
      <c r="K22" s="20" t="e">
        <f t="shared" si="1"/>
        <v>#DIV/0!</v>
      </c>
      <c r="O22" s="49"/>
    </row>
    <row r="23" spans="1:15" ht="18" customHeight="1" x14ac:dyDescent="0.25">
      <c r="A23" s="65">
        <f t="shared" si="0"/>
        <v>14</v>
      </c>
      <c r="B23" s="21" t="s">
        <v>80</v>
      </c>
      <c r="C23" s="22" t="s">
        <v>5</v>
      </c>
      <c r="D23" s="23" t="s">
        <v>8</v>
      </c>
      <c r="E23" s="23" t="s">
        <v>47</v>
      </c>
      <c r="F23" s="23" t="s">
        <v>5</v>
      </c>
      <c r="G23" s="23" t="s">
        <v>48</v>
      </c>
      <c r="H23" s="38">
        <v>142.03749999999999</v>
      </c>
      <c r="I23" s="39"/>
      <c r="J23" s="38"/>
      <c r="K23" s="20" t="e">
        <f t="shared" si="1"/>
        <v>#DIV/0!</v>
      </c>
      <c r="O23" s="49"/>
    </row>
    <row r="24" spans="1:15" ht="18" customHeight="1" x14ac:dyDescent="0.25">
      <c r="A24" s="65">
        <f t="shared" si="0"/>
        <v>15</v>
      </c>
      <c r="B24" s="21" t="s">
        <v>81</v>
      </c>
      <c r="C24" s="22" t="s">
        <v>5</v>
      </c>
      <c r="D24" s="23" t="s">
        <v>12</v>
      </c>
      <c r="E24" s="23" t="s">
        <v>57</v>
      </c>
      <c r="F24" s="23" t="s">
        <v>5</v>
      </c>
      <c r="G24" s="23" t="s">
        <v>58</v>
      </c>
      <c r="H24" s="38">
        <v>129.24420000000001</v>
      </c>
      <c r="I24" s="39"/>
      <c r="J24" s="38"/>
      <c r="K24" s="20" t="e">
        <f t="shared" si="1"/>
        <v>#DIV/0!</v>
      </c>
      <c r="O24" s="49"/>
    </row>
    <row r="25" spans="1:15" ht="18" customHeight="1" x14ac:dyDescent="0.25">
      <c r="A25" s="65">
        <f t="shared" si="0"/>
        <v>16</v>
      </c>
      <c r="B25" s="21" t="s">
        <v>82</v>
      </c>
      <c r="C25" s="22" t="s">
        <v>5</v>
      </c>
      <c r="D25" s="23" t="s">
        <v>13</v>
      </c>
      <c r="E25" s="23" t="s">
        <v>65</v>
      </c>
      <c r="F25" s="23" t="s">
        <v>5</v>
      </c>
      <c r="G25" s="23" t="s">
        <v>66</v>
      </c>
      <c r="H25" s="38">
        <v>157.94</v>
      </c>
      <c r="I25" s="39"/>
      <c r="J25" s="38"/>
      <c r="K25" s="20" t="e">
        <f t="shared" si="1"/>
        <v>#DIV/0!</v>
      </c>
      <c r="O25" s="49"/>
    </row>
    <row r="26" spans="1:15" ht="18" customHeight="1" x14ac:dyDescent="0.25">
      <c r="A26" s="65">
        <f t="shared" si="0"/>
        <v>17</v>
      </c>
      <c r="B26" s="21" t="s">
        <v>83</v>
      </c>
      <c r="C26" s="22" t="s">
        <v>5</v>
      </c>
      <c r="D26" s="23" t="s">
        <v>14</v>
      </c>
      <c r="E26" s="23" t="s">
        <v>49</v>
      </c>
      <c r="F26" s="23" t="s">
        <v>5</v>
      </c>
      <c r="G26" s="50">
        <v>767</v>
      </c>
      <c r="H26" s="38">
        <v>199.08629999999999</v>
      </c>
      <c r="I26" s="39"/>
      <c r="J26" s="38"/>
      <c r="K26" s="20" t="e">
        <f t="shared" si="1"/>
        <v>#DIV/0!</v>
      </c>
      <c r="O26" s="49"/>
    </row>
    <row r="27" spans="1:15" ht="18" customHeight="1" x14ac:dyDescent="0.25">
      <c r="A27" s="65">
        <f t="shared" si="0"/>
        <v>18</v>
      </c>
      <c r="B27" s="21" t="s">
        <v>84</v>
      </c>
      <c r="C27" s="22" t="s">
        <v>5</v>
      </c>
      <c r="D27" s="23" t="s">
        <v>14</v>
      </c>
      <c r="E27" s="23" t="s">
        <v>50</v>
      </c>
      <c r="F27" s="23" t="s">
        <v>5</v>
      </c>
      <c r="G27" s="23">
        <v>823</v>
      </c>
      <c r="H27" s="38">
        <v>123.8537</v>
      </c>
      <c r="I27" s="39"/>
      <c r="J27" s="38"/>
      <c r="K27" s="20" t="e">
        <f t="shared" si="1"/>
        <v>#DIV/0!</v>
      </c>
      <c r="O27" s="49"/>
    </row>
    <row r="28" spans="1:15" ht="18" customHeight="1" x14ac:dyDescent="0.25">
      <c r="A28" s="65">
        <f t="shared" si="0"/>
        <v>19</v>
      </c>
      <c r="B28" s="21" t="s">
        <v>85</v>
      </c>
      <c r="C28" s="22" t="s">
        <v>5</v>
      </c>
      <c r="D28" s="23" t="s">
        <v>14</v>
      </c>
      <c r="E28" s="23" t="s">
        <v>51</v>
      </c>
      <c r="F28" s="23" t="s">
        <v>5</v>
      </c>
      <c r="G28" s="23">
        <v>756</v>
      </c>
      <c r="H28" s="40">
        <v>244.3818</v>
      </c>
      <c r="I28" s="39"/>
      <c r="J28" s="38"/>
      <c r="K28" s="20" t="e">
        <f t="shared" si="1"/>
        <v>#DIV/0!</v>
      </c>
      <c r="O28" s="49"/>
    </row>
    <row r="29" spans="1:15" ht="18" customHeight="1" x14ac:dyDescent="0.25">
      <c r="A29" s="65">
        <f t="shared" si="0"/>
        <v>20</v>
      </c>
      <c r="B29" s="21" t="s">
        <v>86</v>
      </c>
      <c r="C29" s="22" t="s">
        <v>5</v>
      </c>
      <c r="D29" s="23" t="s">
        <v>14</v>
      </c>
      <c r="E29" s="23" t="s">
        <v>56</v>
      </c>
      <c r="F29" s="23" t="s">
        <v>5</v>
      </c>
      <c r="G29" s="23" t="s">
        <v>5</v>
      </c>
      <c r="H29" s="40">
        <v>65.754999999999995</v>
      </c>
      <c r="I29" s="39"/>
      <c r="J29" s="38"/>
      <c r="K29" s="20" t="e">
        <f t="shared" si="1"/>
        <v>#DIV/0!</v>
      </c>
      <c r="O29" s="49"/>
    </row>
    <row r="30" spans="1:15" ht="18" customHeight="1" x14ac:dyDescent="0.25">
      <c r="A30" s="65">
        <f t="shared" si="0"/>
        <v>21</v>
      </c>
      <c r="B30" s="21" t="s">
        <v>87</v>
      </c>
      <c r="C30" s="22" t="s">
        <v>5</v>
      </c>
      <c r="D30" s="23" t="s">
        <v>14</v>
      </c>
      <c r="E30" s="23" t="s">
        <v>52</v>
      </c>
      <c r="F30" s="23" t="s">
        <v>5</v>
      </c>
      <c r="G30" s="23">
        <v>755</v>
      </c>
      <c r="H30" s="40">
        <v>29.407299999999999</v>
      </c>
      <c r="I30" s="39"/>
      <c r="J30" s="38"/>
      <c r="K30" s="20" t="e">
        <f t="shared" si="1"/>
        <v>#DIV/0!</v>
      </c>
      <c r="O30" s="49"/>
    </row>
    <row r="31" spans="1:15" ht="18" customHeight="1" x14ac:dyDescent="0.25">
      <c r="A31" s="65">
        <f t="shared" si="0"/>
        <v>22</v>
      </c>
      <c r="B31" s="21" t="s">
        <v>88</v>
      </c>
      <c r="C31" s="22" t="s">
        <v>5</v>
      </c>
      <c r="D31" s="23" t="s">
        <v>14</v>
      </c>
      <c r="E31" s="23" t="s">
        <v>53</v>
      </c>
      <c r="F31" s="23" t="s">
        <v>5</v>
      </c>
      <c r="G31" s="23">
        <v>601</v>
      </c>
      <c r="H31" s="40">
        <v>1.7346999999999999</v>
      </c>
      <c r="I31" s="39"/>
      <c r="J31" s="38"/>
      <c r="K31" s="20" t="e">
        <f t="shared" si="1"/>
        <v>#DIV/0!</v>
      </c>
      <c r="O31" s="49"/>
    </row>
    <row r="32" spans="1:15" ht="18" customHeight="1" x14ac:dyDescent="0.25">
      <c r="A32" s="65">
        <f t="shared" si="0"/>
        <v>23</v>
      </c>
      <c r="B32" s="21" t="s">
        <v>89</v>
      </c>
      <c r="C32" s="22" t="s">
        <v>5</v>
      </c>
      <c r="D32" s="23" t="s">
        <v>14</v>
      </c>
      <c r="E32" s="23" t="s">
        <v>54</v>
      </c>
      <c r="F32" s="23" t="s">
        <v>5</v>
      </c>
      <c r="G32" s="23">
        <v>602</v>
      </c>
      <c r="H32" s="40">
        <v>1.8046</v>
      </c>
      <c r="I32" s="39"/>
      <c r="J32" s="38"/>
      <c r="K32" s="20" t="e">
        <f t="shared" si="1"/>
        <v>#DIV/0!</v>
      </c>
      <c r="O32" s="49"/>
    </row>
    <row r="33" spans="1:15" ht="18" customHeight="1" thickBot="1" x14ac:dyDescent="0.3">
      <c r="A33" s="1">
        <f t="shared" si="0"/>
        <v>24</v>
      </c>
      <c r="B33" s="67" t="s">
        <v>90</v>
      </c>
      <c r="C33" s="24" t="s">
        <v>5</v>
      </c>
      <c r="D33" s="24" t="s">
        <v>14</v>
      </c>
      <c r="E33" s="24" t="s">
        <v>55</v>
      </c>
      <c r="F33" s="24" t="s">
        <v>5</v>
      </c>
      <c r="G33" s="24">
        <v>731</v>
      </c>
      <c r="H33" s="47">
        <v>26.6753</v>
      </c>
      <c r="I33" s="48"/>
      <c r="J33" s="38"/>
      <c r="K33" s="25" t="e">
        <f t="shared" si="1"/>
        <v>#DIV/0!</v>
      </c>
      <c r="O33" s="49"/>
    </row>
    <row r="34" spans="1:15" x14ac:dyDescent="0.25">
      <c r="F34" s="26"/>
    </row>
    <row r="35" spans="1:15" x14ac:dyDescent="0.25">
      <c r="F35" s="26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und_price">
                <anchor moveWithCells="1" sizeWithCells="1">
                  <from>
                    <xdr:col>7</xdr:col>
                    <xdr:colOff>228600</xdr:colOff>
                    <xdr:row>2</xdr:row>
                    <xdr:rowOff>63500</xdr:rowOff>
                  </from>
                  <to>
                    <xdr:col>7</xdr:col>
                    <xdr:colOff>1181100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lear_data">
                <anchor moveWithCells="1" sizeWithCells="1">
                  <from>
                    <xdr:col>8</xdr:col>
                    <xdr:colOff>88900</xdr:colOff>
                    <xdr:row>2</xdr:row>
                    <xdr:rowOff>50800</xdr:rowOff>
                  </from>
                  <to>
                    <xdr:col>9</xdr:col>
                    <xdr:colOff>876300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CT_From_Type xmlns="44720600-b7e2-4334-a76c-2fac7ed32391" xsi:nil="true"/>
    <TCT_Sent_UTC xmlns="44720600-b7e2-4334-a76c-2fac7ed32391" xsi:nil="true"/>
    <TCT_To_Address xmlns="44720600-b7e2-4334-a76c-2fac7ed32391" xsi:nil="true"/>
    <TCT_ClientCode xmlns="44720600-b7e2-4334-a76c-2fac7ed32391" xsi:nil="true"/>
    <TCT_Email_Categories xmlns="44720600-b7e2-4334-a76c-2fac7ed32391" xsi:nil="true"/>
    <TCT_WorkReviewComments xmlns="e3af3928-72d3-4b8a-b86b-2250b2499d03" xsi:nil="true"/>
    <TCT_Cc xmlns="2462c546-2177-410e-bd89-f829a5a4873d" xsi:nil="true"/>
    <TCT_SeniorPeerReviewerRequired xmlns="e3af3928-72d3-4b8a-b86b-2250b2499d03" xsi:nil="true"/>
    <TCT_Received xmlns="e3af3928-72d3-4b8a-b86b-2250b2499d03" xsi:nil="true"/>
    <TCT_SeniorPeerReviewApprovalDate xmlns="e3af3928-72d3-4b8a-b86b-2250b2499d03" xsi:nil="true"/>
    <TCT_PersonalHealthInformation xmlns="e3af3928-72d3-4b8a-b86b-2250b2499d03">No</TCT_PersonalHealthInformation>
    <TCT_From_Address xmlns="44720600-b7e2-4334-a76c-2fac7ed32391" xsi:nil="true"/>
    <TCT_To xmlns="2462c546-2177-410e-bd89-f829a5a4873d" xsi:nil="true"/>
    <TCT_Cc_Address xmlns="44720600-b7e2-4334-a76c-2fac7ed32391" xsi:nil="true"/>
    <TCT_EditorialReviewerRequired xmlns="e3af3928-72d3-4b8a-b86b-2250b2499d03" xsi:nil="true"/>
    <TCT_ProjectPhase xmlns="e3af3928-72d3-4b8a-b86b-2250b2499d03" xsi:nil="true"/>
    <TCT_Sensitivity xmlns="44720600-b7e2-4334-a76c-2fac7ed32391" xsi:nil="true"/>
    <TCT_Sent xmlns="e3af3928-72d3-4b8a-b86b-2250b2499d03" xsi:nil="true"/>
    <TCT_Bcc_Address xmlns="44720600-b7e2-4334-a76c-2fac7ed32391" xsi:nil="true"/>
    <TCT_LOB xmlns="44720600-b7e2-4334-a76c-2fac7ed32391" xsi:nil="true"/>
    <TCT_Office xmlns="e3af3928-72d3-4b8a-b86b-2250b2499d03" xsi:nil="true"/>
    <TCT_SourceModifiedDate xmlns="44720600-b7e2-4334-a76c-2fac7ed32391" xsi:nil="true"/>
    <TCT_ConsultingReviewApprovalDate xmlns="e3af3928-72d3-4b8a-b86b-2250b2499d03" xsi:nil="true"/>
    <TCT_Conversation xmlns="44720600-b7e2-4334-a76c-2fac7ed32391" xsi:nil="true"/>
    <TCT_Bcc xmlns="e3af3928-72d3-4b8a-b86b-2250b2499d03" xsi:nil="true"/>
    <TCT_Bcc_Type xmlns="44720600-b7e2-4334-a76c-2fac7ed32391" xsi:nil="true"/>
    <TCT_ProjectYear xmlns="e3af3928-72d3-4b8a-b86b-2250b2499d03" xsi:nil="true"/>
    <TCT_TechnicalReviewApprovalDate xmlns="e3af3928-72d3-4b8a-b86b-2250b2499d03" xsi:nil="true"/>
    <TCT_TechnicalReviewerRequired xmlns="e3af3928-72d3-4b8a-b86b-2250b2499d03" xsi:nil="true"/>
    <TCT_ProjectName xmlns="e3af3928-72d3-4b8a-b86b-2250b2499d03" xsi:nil="true"/>
    <TCT_Received_UTC xmlns="44720600-b7e2-4334-a76c-2fac7ed32391" xsi:nil="true"/>
    <TCT_Region xmlns="e3af3928-72d3-4b8a-b86b-2250b2499d03" xsi:nil="true"/>
    <TCT_ClientName xmlns="44720600-b7e2-4334-a76c-2fac7ed32391" xsi:nil="true"/>
    <TCT_Country xmlns="e3af3928-72d3-4b8a-b86b-2250b2499d03" xsi:nil="true"/>
    <TCT_To_Type xmlns="44720600-b7e2-4334-a76c-2fac7ed32391" xsi:nil="true"/>
    <TCT_Cc_Type xmlns="44720600-b7e2-4334-a76c-2fac7ed32391" xsi:nil="true"/>
    <TCT_PersonallyIdentifiableInformation xmlns="e3af3928-72d3-4b8a-b86b-2250b2499d03">No</TCT_PersonallyIdentifiableInformation>
    <TCT_ProjectCode xmlns="e3af3928-72d3-4b8a-b86b-2250b2499d03" xsi:nil="true"/>
    <TCT_From xmlns="e3af3928-72d3-4b8a-b86b-2250b2499d03" xsi:nil="true"/>
    <TCT_PreparedDate xmlns="e3af3928-72d3-4b8a-b86b-2250b2499d03" xsi:nil="true"/>
    <TCT_Attachment xmlns="e3af3928-72d3-4b8a-b86b-2250b2499d03" xsi:nil="true"/>
    <TCT_ProjectType xmlns="44720600-b7e2-4334-a76c-2fac7ed32391" xsi:nil="true"/>
    <TCT_WorkDocumentReviewStatus xmlns="e3af3928-72d3-4b8a-b86b-2250b2499d03" xsi:nil="true"/>
    <TCT_Email_Subject xmlns="e3af3928-72d3-4b8a-b86b-2250b2499d03" xsi:nil="true"/>
    <TCT_PreparedByRequired xmlns="e3af3928-72d3-4b8a-b86b-2250b2499d03" xsi:nil="true"/>
    <TCT_ConsultingReviewerRequired xmlns="e3af3928-72d3-4b8a-b86b-2250b2499d03" xsi:nil="true"/>
    <TCT_EditorialReviewApprovalDate xmlns="e3af3928-72d3-4b8a-b86b-2250b2499d03" xsi:nil="true"/>
    <TCT_Importance xmlns="44720600-b7e2-4334-a76c-2fac7ed32391" xsi:nil="true"/>
    <TCT_ProjectStatus xmlns="e3af3928-72d3-4b8a-b86b-2250b2499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615FD4A417C5B49A33DE46AD3996CCB" ma:contentTypeVersion="54" ma:contentTypeDescription="Create a new document." ma:contentTypeScope="" ma:versionID="67e74400cfed4c50907b9ffbb66d218f">
  <xsd:schema xmlns:xsd="http://www.w3.org/2001/XMLSchema" xmlns:xs="http://www.w3.org/2001/XMLSchema" xmlns:p="http://schemas.microsoft.com/office/2006/metadata/properties" xmlns:ns2="e3af3928-72d3-4b8a-b86b-2250b2499d03" xmlns:ns3="44720600-b7e2-4334-a76c-2fac7ed32391" xmlns:ns4="2462c546-2177-410e-bd89-f829a5a4873d" targetNamespace="http://schemas.microsoft.com/office/2006/metadata/properties" ma:root="true" ma:fieldsID="6171b94c93242a2c20c5de0dfd867524" ns2:_="" ns3:_="" ns4:_="">
    <xsd:import namespace="e3af3928-72d3-4b8a-b86b-2250b2499d03"/>
    <xsd:import namespace="44720600-b7e2-4334-a76c-2fac7ed32391"/>
    <xsd:import namespace="2462c546-2177-410e-bd89-f829a5a4873d"/>
    <xsd:element name="properties">
      <xsd:complexType>
        <xsd:sequence>
          <xsd:element name="documentManagement">
            <xsd:complexType>
              <xsd:all>
                <xsd:element ref="ns2:TCT_Bcc" minOccurs="0"/>
                <xsd:element ref="ns3:TCT_Bcc_Address" minOccurs="0"/>
                <xsd:element ref="ns3:TCT_Bcc_Type" minOccurs="0"/>
                <xsd:element ref="ns4:TCT_Cc" minOccurs="0"/>
                <xsd:element ref="ns3:TCT_Cc_Address" minOccurs="0"/>
                <xsd:element ref="ns3:TCT_Cc_Type" minOccurs="0"/>
                <xsd:element ref="ns3:TCT_ClientCode" minOccurs="0"/>
                <xsd:element ref="ns3:TCT_ClientName" minOccurs="0"/>
                <xsd:element ref="ns2:TCT_ConsultingReviewApprovalDate" minOccurs="0"/>
                <xsd:element ref="ns2:TCT_ConsultingReviewerRequired" minOccurs="0"/>
                <xsd:element ref="ns3:TCT_Conversation" minOccurs="0"/>
                <xsd:element ref="ns2:TCT_Country" minOccurs="0"/>
                <xsd:element ref="ns2:TCT_EditorialReviewApprovalDate" minOccurs="0"/>
                <xsd:element ref="ns2:TCT_EditorialReviewerRequired" minOccurs="0"/>
                <xsd:element ref="ns3:TCT_Email_Categories" minOccurs="0"/>
                <xsd:element ref="ns2:TCT_Email_Subject" minOccurs="0"/>
                <xsd:element ref="ns2:TCT_From" minOccurs="0"/>
                <xsd:element ref="ns3:TCT_From_Address" minOccurs="0"/>
                <xsd:element ref="ns3:TCT_From_Type" minOccurs="0"/>
                <xsd:element ref="ns3:TCT_Importance" minOccurs="0"/>
                <xsd:element ref="ns3:TCT_LOB" minOccurs="0"/>
                <xsd:element ref="ns2:TCT_Office" minOccurs="0"/>
                <xsd:element ref="ns2:TCT_PersonallyIdentifiableInformation" minOccurs="0"/>
                <xsd:element ref="ns2:TCT_PersonalHealthInformation" minOccurs="0"/>
                <xsd:element ref="ns2:TCT_PreparedDate" minOccurs="0"/>
                <xsd:element ref="ns2:TCT_PreparedByRequired" minOccurs="0"/>
                <xsd:element ref="ns2:TCT_ProjectCode" minOccurs="0"/>
                <xsd:element ref="ns2:TCT_ProjectName" minOccurs="0"/>
                <xsd:element ref="ns2:TCT_ProjectPhase" minOccurs="0"/>
                <xsd:element ref="ns2:TCT_ProjectStatus" minOccurs="0"/>
                <xsd:element ref="ns3:TCT_ProjectType" minOccurs="0"/>
                <xsd:element ref="ns2:TCT_ProjectYear" minOccurs="0"/>
                <xsd:element ref="ns2:TCT_Received" minOccurs="0"/>
                <xsd:element ref="ns3:TCT_Received_UTC" minOccurs="0"/>
                <xsd:element ref="ns2:TCT_Region" minOccurs="0"/>
                <xsd:element ref="ns2:TCT_SeniorPeerReviewApprovalDate" minOccurs="0"/>
                <xsd:element ref="ns2:TCT_SeniorPeerReviewerRequired" minOccurs="0"/>
                <xsd:element ref="ns3:TCT_Sensitivity" minOccurs="0"/>
                <xsd:element ref="ns2:TCT_Sent" minOccurs="0"/>
                <xsd:element ref="ns3:TCT_Sent_UTC" minOccurs="0"/>
                <xsd:element ref="ns3:TCT_SourceModifiedDate" minOccurs="0"/>
                <xsd:element ref="ns2:TCT_TechnicalReviewApprovalDate" minOccurs="0"/>
                <xsd:element ref="ns2:TCT_TechnicalReviewerRequired" minOccurs="0"/>
                <xsd:element ref="ns4:TCT_To" minOccurs="0"/>
                <xsd:element ref="ns3:TCT_To_Address" minOccurs="0"/>
                <xsd:element ref="ns3:TCT_To_Type" minOccurs="0"/>
                <xsd:element ref="ns2:TCT_WorkDocumentReviewStatus" minOccurs="0"/>
                <xsd:element ref="ns2:TCT_WorkReviewComments" minOccurs="0"/>
                <xsd:element ref="ns2:TCT_Attachment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3af3928-72d3-4b8a-b86b-2250b2499d03" elementFormDefault="qualified">
    <xsd:import namespace="http://schemas.microsoft.com/office/2006/documentManagement/types"/>
    <xsd:import namespace="http://schemas.microsoft.com/office/infopath/2007/PartnerControls"/>
    <xsd:element name="TCT_Bcc" ma:index="8" nillable="true" ma:displayName="Bcc" ma:internalName="TCT_Bcc">
      <xsd:simpleType>
        <xsd:restriction base="dms:Text"/>
      </xsd:simpleType>
    </xsd:element>
    <xsd:element name="TCT_ConsultingReviewApprovalDate" ma:index="16" nillable="true" ma:displayName="CR Date" ma:format="DateOnly" ma:internalName="TCT_ConsultingReviewApprovalDate">
      <xsd:simpleType>
        <xsd:restriction base="dms:DateTime"/>
      </xsd:simpleType>
    </xsd:element>
    <xsd:element name="TCT_ConsultingReviewerRequired" ma:index="17" nillable="true" ma:displayName="CR Not Req" ma:internalName="TCT_ConsultingReviewerRequired">
      <xsd:simpleType>
        <xsd:restriction base="dms:Boolean"/>
      </xsd:simpleType>
    </xsd:element>
    <xsd:element name="TCT_Country" ma:index="19" nillable="true" ma:displayName="Country" ma:internalName="TCT_Country">
      <xsd:simpleType>
        <xsd:restriction base="dms:Text"/>
      </xsd:simpleType>
    </xsd:element>
    <xsd:element name="TCT_EditorialReviewApprovalDate" ma:index="20" nillable="true" ma:displayName="ER Date" ma:format="DateOnly" ma:internalName="TCT_EditorialReviewApprovalDate">
      <xsd:simpleType>
        <xsd:restriction base="dms:DateTime"/>
      </xsd:simpleType>
    </xsd:element>
    <xsd:element name="TCT_EditorialReviewerRequired" ma:index="21" nillable="true" ma:displayName="ER Not Req" ma:internalName="TCT_EditorialReviewerRequired">
      <xsd:simpleType>
        <xsd:restriction base="dms:Boolean"/>
      </xsd:simpleType>
    </xsd:element>
    <xsd:element name="TCT_Email_Subject" ma:index="23" nillable="true" ma:displayName="Email Subject" ma:internalName="TCT_Email_Subject">
      <xsd:simpleType>
        <xsd:restriction base="dms:Text"/>
      </xsd:simpleType>
    </xsd:element>
    <xsd:element name="TCT_From" ma:index="24" nillable="true" ma:displayName="From" ma:internalName="TCT_From">
      <xsd:simpleType>
        <xsd:restriction base="dms:Text"/>
      </xsd:simpleType>
    </xsd:element>
    <xsd:element name="TCT_Office" ma:index="29" nillable="true" ma:displayName="Office" ma:internalName="TCT_Office">
      <xsd:simpleType>
        <xsd:restriction base="dms:Text"/>
      </xsd:simpleType>
    </xsd:element>
    <xsd:element name="TCT_PersonallyIdentifiableInformation" ma:index="30" nillable="true" ma:displayName="PII" ma:default="No" ma:description="Any data about an identifiable individual (such as date of birth or unique ID number)" ma:internalName="TCT_PersonallyIdentifiableInformation">
      <xsd:simpleType>
        <xsd:restriction base="dms:Choice">
          <xsd:enumeration value="Yes"/>
          <xsd:enumeration value="No"/>
        </xsd:restriction>
      </xsd:simpleType>
    </xsd:element>
    <xsd:element name="TCT_PersonalHealthInformation" ma:index="31" nillable="true" ma:displayName="PHI(US Only)" ma:default="No" ma:description="For US Projects Only.  Any information from a covered entity about health, coverage, benefits, or payments that can be linked to a specific individual. For details, please see the FAQ section within the Resources site" ma:internalName="TCT_PersonalHealthInformation">
      <xsd:simpleType>
        <xsd:restriction base="dms:Choice">
          <xsd:enumeration value="Yes"/>
          <xsd:enumeration value="No"/>
        </xsd:restriction>
      </xsd:simpleType>
    </xsd:element>
    <xsd:element name="TCT_PreparedDate" ma:index="32" nillable="true" ma:displayName="Doer Date" ma:format="DateOnly" ma:internalName="TCT_PreparedDate">
      <xsd:simpleType>
        <xsd:restriction base="dms:DateTime"/>
      </xsd:simpleType>
    </xsd:element>
    <xsd:element name="TCT_PreparedByRequired" ma:index="33" nillable="true" ma:displayName="Doer Not Req" ma:internalName="TCT_PreparedByRequired">
      <xsd:simpleType>
        <xsd:restriction base="dms:Boolean"/>
      </xsd:simpleType>
    </xsd:element>
    <xsd:element name="TCT_ProjectCode" ma:index="34" nillable="true" ma:displayName="Project Code" ma:internalName="TCT_ProjectCode">
      <xsd:simpleType>
        <xsd:restriction base="dms:Text"/>
      </xsd:simpleType>
    </xsd:element>
    <xsd:element name="TCT_ProjectName" ma:index="35" nillable="true" ma:displayName="Project Name" ma:internalName="TCT_ProjectName">
      <xsd:simpleType>
        <xsd:restriction base="dms:Text"/>
      </xsd:simpleType>
    </xsd:element>
    <xsd:element name="TCT_ProjectPhase" ma:index="36" nillable="true" ma:displayName="Project Phase" ma:format="Dropdown" ma:internalName="TCT_ProjectPhase">
      <xsd:simpleType>
        <xsd:restriction base="dms:Choice">
          <xsd:enumeration value="Pursue"/>
          <xsd:enumeration value="Plan, incl. Project Mgmt"/>
          <xsd:enumeration value="Deliver - Data"/>
          <xsd:enumeration value="Deliver - Internal Work"/>
          <xsd:enumeration value="Deliver - Deliverables"/>
          <xsd:enumeration value="Assess and Close"/>
        </xsd:restriction>
      </xsd:simpleType>
    </xsd:element>
    <xsd:element name="TCT_ProjectStatus" ma:index="37" nillable="true" ma:displayName="Project Status" ma:hidden="true" ma:internalName="TCT_ProjectStatus">
      <xsd:simpleType>
        <xsd:restriction base="dms:Choice">
          <xsd:enumeration value="Active"/>
          <xsd:enumeration value="Closed"/>
          <xsd:enumeration value="Canceled"/>
          <xsd:enumeration value="Archived"/>
        </xsd:restriction>
      </xsd:simpleType>
    </xsd:element>
    <xsd:element name="TCT_ProjectYear" ma:index="39" nillable="true" ma:displayName="Project Year" ma:internalName="TCT_ProjectYear">
      <xsd:simpleType>
        <xsd:restriction base="dms:Text"/>
      </xsd:simpleType>
    </xsd:element>
    <xsd:element name="TCT_Received" ma:index="40" nillable="true" ma:displayName="Received" ma:format="DateOnly" ma:internalName="TCT_Received">
      <xsd:simpleType>
        <xsd:restriction base="dms:DateTime"/>
      </xsd:simpleType>
    </xsd:element>
    <xsd:element name="TCT_Region" ma:index="42" nillable="true" ma:displayName="Region" ma:internalName="TCT_Region">
      <xsd:simpleType>
        <xsd:restriction base="dms:Text"/>
      </xsd:simpleType>
    </xsd:element>
    <xsd:element name="TCT_SeniorPeerReviewApprovalDate" ma:index="43" nillable="true" ma:displayName="SPR Date" ma:format="DateOnly" ma:internalName="TCT_SeniorPeerReviewApprovalDate">
      <xsd:simpleType>
        <xsd:restriction base="dms:DateTime"/>
      </xsd:simpleType>
    </xsd:element>
    <xsd:element name="TCT_SeniorPeerReviewerRequired" ma:index="44" nillable="true" ma:displayName="SPR Not Req" ma:internalName="TCT_SeniorPeerReviewerRequired">
      <xsd:simpleType>
        <xsd:restriction base="dms:Boolean"/>
      </xsd:simpleType>
    </xsd:element>
    <xsd:element name="TCT_Sent" ma:index="46" nillable="true" ma:displayName="Sent" ma:format="DateOnly" ma:internalName="TCT_Sent">
      <xsd:simpleType>
        <xsd:restriction base="dms:DateTime"/>
      </xsd:simpleType>
    </xsd:element>
    <xsd:element name="TCT_TechnicalReviewApprovalDate" ma:index="49" nillable="true" ma:displayName="TR Date" ma:format="DateOnly" ma:internalName="TCT_TechnicalReviewApprovalDate">
      <xsd:simpleType>
        <xsd:restriction base="dms:DateTime"/>
      </xsd:simpleType>
    </xsd:element>
    <xsd:element name="TCT_TechnicalReviewerRequired" ma:index="50" nillable="true" ma:displayName="TR Not Req" ma:internalName="TCT_TechnicalReviewerRequired">
      <xsd:simpleType>
        <xsd:restriction base="dms:Boolean"/>
      </xsd:simpleType>
    </xsd:element>
    <xsd:element name="TCT_WorkDocumentReviewStatus" ma:index="54" nillable="true" ma:displayName="WR Required?" ma:internalName="TCT_WorkDocumentReviewStatus">
      <xsd:simpleType>
        <xsd:restriction base="dms:Choice">
          <xsd:enumeration value="Yes"/>
          <xsd:enumeration value="No"/>
        </xsd:restriction>
      </xsd:simpleType>
    </xsd:element>
    <xsd:element name="TCT_WorkReviewComments" ma:index="55" nillable="true" ma:displayName="WR Comments" ma:internalName="TCT_WorkReviewComments">
      <xsd:simpleType>
        <xsd:restriction base="dms:Note">
          <xsd:maxLength value="255"/>
        </xsd:restriction>
      </xsd:simpleType>
    </xsd:element>
    <xsd:element name="TCT_Attachment" ma:index="56" nillable="true" ma:displayName="Attachment" ma:hidden="true" ma:internalName="TCT_Attachment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720600-b7e2-4334-a76c-2fac7ed32391" elementFormDefault="qualified">
    <xsd:import namespace="http://schemas.microsoft.com/office/2006/documentManagement/types"/>
    <xsd:import namespace="http://schemas.microsoft.com/office/infopath/2007/PartnerControls"/>
    <xsd:element name="TCT_Bcc_Address" ma:index="9" nillable="true" ma:displayName="Bcc-Address" ma:internalName="TCT_Bcc_Address">
      <xsd:simpleType>
        <xsd:restriction base="dms:Note">
          <xsd:maxLength value="255"/>
        </xsd:restriction>
      </xsd:simpleType>
    </xsd:element>
    <xsd:element name="TCT_Bcc_Type" ma:index="10" nillable="true" ma:displayName="Bcc-Type" ma:internalName="TCT_Bcc_Type">
      <xsd:simpleType>
        <xsd:restriction base="dms:Text"/>
      </xsd:simpleType>
    </xsd:element>
    <xsd:element name="TCT_Cc_Address" ma:index="12" nillable="true" ma:displayName="Cc-Address" ma:internalName="TCT_Cc_Address">
      <xsd:simpleType>
        <xsd:restriction base="dms:Note">
          <xsd:maxLength value="255"/>
        </xsd:restriction>
      </xsd:simpleType>
    </xsd:element>
    <xsd:element name="TCT_Cc_Type" ma:index="13" nillable="true" ma:displayName="Cc-Type" ma:internalName="TCT_Cc_Type">
      <xsd:simpleType>
        <xsd:restriction base="dms:Text"/>
      </xsd:simpleType>
    </xsd:element>
    <xsd:element name="TCT_ClientCode" ma:index="14" nillable="true" ma:displayName="Client Code" ma:internalName="TCT_ClientCode">
      <xsd:simpleType>
        <xsd:restriction base="dms:Text"/>
      </xsd:simpleType>
    </xsd:element>
    <xsd:element name="TCT_ClientName" ma:index="15" nillable="true" ma:displayName="Client Name" ma:internalName="TCT_ClientName">
      <xsd:simpleType>
        <xsd:restriction base="dms:Text"/>
      </xsd:simpleType>
    </xsd:element>
    <xsd:element name="TCT_Conversation" ma:index="18" nillable="true" ma:displayName="Conversation" ma:internalName="TCT_Conversation">
      <xsd:simpleType>
        <xsd:restriction base="dms:Text"/>
      </xsd:simpleType>
    </xsd:element>
    <xsd:element name="TCT_Email_Categories" ma:index="22" nillable="true" ma:displayName="Email Categories" ma:internalName="TCT_Email_Categories">
      <xsd:simpleType>
        <xsd:restriction base="dms:Text"/>
      </xsd:simpleType>
    </xsd:element>
    <xsd:element name="TCT_From_Address" ma:index="25" nillable="true" ma:displayName="From-Address" ma:internalName="TCT_From_Address">
      <xsd:simpleType>
        <xsd:restriction base="dms:Note">
          <xsd:maxLength value="255"/>
        </xsd:restriction>
      </xsd:simpleType>
    </xsd:element>
    <xsd:element name="TCT_From_Type" ma:index="26" nillable="true" ma:displayName="From-Type" ma:internalName="TCT_From_Type">
      <xsd:simpleType>
        <xsd:restriction base="dms:Text"/>
      </xsd:simpleType>
    </xsd:element>
    <xsd:element name="TCT_Importance" ma:index="27" nillable="true" ma:displayName="Importance" ma:internalName="TCT_Importance">
      <xsd:simpleType>
        <xsd:restriction base="dms:Number"/>
      </xsd:simpleType>
    </xsd:element>
    <xsd:element name="TCT_LOB" ma:index="28" nillable="true" ma:displayName="Line of Business" ma:internalName="TCT_LOB">
      <xsd:simpleType>
        <xsd:restriction base="dms:Text"/>
      </xsd:simpleType>
    </xsd:element>
    <xsd:element name="TCT_ProjectType" ma:index="38" nillable="true" ma:displayName="Project Type" ma:internalName="TCT_ProjectType">
      <xsd:simpleType>
        <xsd:restriction base="dms:Choice">
          <xsd:enumeration value="Project"/>
          <xsd:enumeration value="Reference"/>
          <xsd:enumeration value="Account Management"/>
          <xsd:enumeration value="Plan Administration"/>
        </xsd:restriction>
      </xsd:simpleType>
    </xsd:element>
    <xsd:element name="TCT_Received_UTC" ma:index="41" nillable="true" ma:displayName="Received-UTC" ma:format="DateOnly" ma:internalName="TCT_Received_UTC">
      <xsd:simpleType>
        <xsd:restriction base="dms:DateTime"/>
      </xsd:simpleType>
    </xsd:element>
    <xsd:element name="TCT_Sensitivity" ma:index="45" nillable="true" ma:displayName="Sensitivity" ma:internalName="TCT_Sensitivity">
      <xsd:simpleType>
        <xsd:restriction base="dms:Number"/>
      </xsd:simpleType>
    </xsd:element>
    <xsd:element name="TCT_Sent_UTC" ma:index="47" nillable="true" ma:displayName="Sent-UTC" ma:format="DateOnly" ma:internalName="TCT_Sent_UTC">
      <xsd:simpleType>
        <xsd:restriction base="dms:DateTime"/>
      </xsd:simpleType>
    </xsd:element>
    <xsd:element name="TCT_SourceModifiedDate" ma:index="48" nillable="true" ma:displayName="Source Modified Date" ma:format="DateOnly" ma:internalName="TCT_SourceModifiedDate">
      <xsd:simpleType>
        <xsd:restriction base="dms:DateTime"/>
      </xsd:simpleType>
    </xsd:element>
    <xsd:element name="TCT_To_Address" ma:index="52" nillable="true" ma:displayName="To-Address" ma:internalName="TCT_To_Address">
      <xsd:simpleType>
        <xsd:restriction base="dms:Note">
          <xsd:maxLength value="255"/>
        </xsd:restriction>
      </xsd:simpleType>
    </xsd:element>
    <xsd:element name="TCT_To_Type" ma:index="53" nillable="true" ma:displayName="To-Type" ma:internalName="TCT_To_Typ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462c546-2177-410e-bd89-f829a5a4873d" elementFormDefault="qualified">
    <xsd:import namespace="http://schemas.microsoft.com/office/2006/documentManagement/types"/>
    <xsd:import namespace="http://schemas.microsoft.com/office/infopath/2007/PartnerControls"/>
    <xsd:element name="TCT_Cc" ma:index="11" nillable="true" ma:displayName="Cc" ma:internalName="TCT_Cc">
      <xsd:simpleType>
        <xsd:restriction base="dms:Text"/>
      </xsd:simpleType>
    </xsd:element>
    <xsd:element name="TCT_To" ma:index="51" nillable="true" ma:displayName="To" ma:internalName="TCT_To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0DAD2A0-24A2-43B8-8B4E-601CE6BDE4D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812B6F2-E2A9-4BF8-A7BB-152DCED93F38}">
  <ds:schemaRefs>
    <ds:schemaRef ds:uri="http://purl.org/dc/terms/"/>
    <ds:schemaRef ds:uri="44720600-b7e2-4334-a76c-2fac7ed32391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elements/1.1/"/>
    <ds:schemaRef ds:uri="http://schemas.microsoft.com/office/2006/metadata/properties"/>
    <ds:schemaRef ds:uri="2462c546-2177-410e-bd89-f829a5a4873d"/>
    <ds:schemaRef ds:uri="e3af3928-72d3-4b8a-b86b-2250b2499d03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543E1D8-7C67-43DE-9122-F51DC7CEC72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3af3928-72d3-4b8a-b86b-2250b2499d03"/>
    <ds:schemaRef ds:uri="44720600-b7e2-4334-a76c-2fac7ed32391"/>
    <ds:schemaRef ds:uri="2462c546-2177-410e-bd89-f829a5a487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 price update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KELLY147</dc:creator>
  <cp:lastModifiedBy>Lam, Kurtis (Hong Kong)</cp:lastModifiedBy>
  <cp:lastPrinted>2019-11-20T08:01:29Z</cp:lastPrinted>
  <dcterms:created xsi:type="dcterms:W3CDTF">2019-02-25T09:01:57Z</dcterms:created>
  <dcterms:modified xsi:type="dcterms:W3CDTF">2023-05-26T06:24:06Z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347b247-e90e-43a3-9d7b-004f14ae6873_Enabled">
    <vt:lpwstr>true</vt:lpwstr>
  </property>
  <property fmtid="{D5CDD505-2E9C-101B-9397-08002B2CF9AE}" pid="3" name="MSIP_Label_d347b247-e90e-43a3-9d7b-004f14ae6873_SetDate">
    <vt:lpwstr>2021-04-15T04:40:59Z</vt:lpwstr>
  </property>
  <property fmtid="{D5CDD505-2E9C-101B-9397-08002B2CF9AE}" pid="4" name="MSIP_Label_d347b247-e90e-43a3-9d7b-004f14ae6873_Method">
    <vt:lpwstr>Standard</vt:lpwstr>
  </property>
  <property fmtid="{D5CDD505-2E9C-101B-9397-08002B2CF9AE}" pid="5" name="MSIP_Label_d347b247-e90e-43a3-9d7b-004f14ae6873_Name">
    <vt:lpwstr>d347b247-e90e-43a3-9d7b-004f14ae6873</vt:lpwstr>
  </property>
  <property fmtid="{D5CDD505-2E9C-101B-9397-08002B2CF9AE}" pid="6" name="MSIP_Label_d347b247-e90e-43a3-9d7b-004f14ae6873_SiteId">
    <vt:lpwstr>76e3921f-489b-4b7e-9547-9ea297add9b5</vt:lpwstr>
  </property>
  <property fmtid="{D5CDD505-2E9C-101B-9397-08002B2CF9AE}" pid="7" name="MSIP_Label_d347b247-e90e-43a3-9d7b-004f14ae6873_ActionId">
    <vt:lpwstr>7c8d23f5-e22d-4290-86c5-0b5566fb45c9</vt:lpwstr>
  </property>
  <property fmtid="{D5CDD505-2E9C-101B-9397-08002B2CF9AE}" pid="8" name="MSIP_Label_d347b247-e90e-43a3-9d7b-004f14ae6873_ContentBits">
    <vt:lpwstr>0</vt:lpwstr>
  </property>
  <property fmtid="{D5CDD505-2E9C-101B-9397-08002B2CF9AE}" pid="9" name="ContentTypeId">
    <vt:lpwstr>0x010100A615FD4A417C5B49A33DE46AD3996CCB</vt:lpwstr>
  </property>
</Properties>
</file>